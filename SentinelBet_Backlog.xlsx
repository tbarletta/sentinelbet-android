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print Plan" sheetId="2" state="visible" r:id="rId2"/>
    <sheet xmlns:r="http://schemas.openxmlformats.org/officeDocument/2006/relationships" name="Resumo Épico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C47A"/>
      <sz val="14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D1520"/>
      <sz val="9"/>
    </font>
    <font>
      <name val="Arial"/>
      <charset val="1"/>
      <family val="0"/>
      <b val="1"/>
      <color rgb="FF3B1FA8"/>
      <sz val="9"/>
    </font>
    <font>
      <name val="Arial"/>
      <charset val="1"/>
      <family val="0"/>
      <color rgb="FF0F172A"/>
      <sz val="9"/>
    </font>
    <font>
      <name val="Arial"/>
      <charset val="1"/>
      <family val="0"/>
      <color rgb="FF1A1A2E"/>
      <sz val="8.5"/>
    </font>
    <font>
      <name val="Arial"/>
      <charset val="1"/>
      <family val="0"/>
      <color rgb="FF374151"/>
      <sz val="8.5"/>
    </font>
    <font>
      <name val="Arial"/>
      <charset val="1"/>
      <family val="0"/>
      <b val="1"/>
      <color rgb="FF006B42"/>
      <sz val="9"/>
    </font>
    <font>
      <name val="Arial"/>
      <charset val="1"/>
      <family val="0"/>
      <b val="1"/>
      <color rgb="FFC0000C"/>
      <sz val="9"/>
    </font>
    <font>
      <name val="Arial"/>
      <charset val="1"/>
      <family val="0"/>
      <b val="1"/>
      <color rgb="FF7A5000"/>
      <sz val="9"/>
    </font>
    <font>
      <name val="Arial"/>
      <charset val="1"/>
      <family val="0"/>
      <b val="1"/>
      <color rgb="FF1E3A8A"/>
      <sz val="10"/>
    </font>
    <font>
      <name val="Arial"/>
      <charset val="1"/>
      <family val="0"/>
      <color rgb="FF6B7280"/>
      <sz val="9"/>
    </font>
    <font>
      <name val="Arial"/>
      <charset val="1"/>
      <family val="0"/>
      <b val="1"/>
      <color rgb="FF1A1A2E"/>
      <sz val="9"/>
    </font>
    <font>
      <name val="Arial"/>
      <charset val="1"/>
      <family val="0"/>
      <b val="1"/>
      <color rgb="FF374151"/>
      <sz val="9"/>
    </font>
    <font>
      <name val="Arial"/>
      <charset val="1"/>
      <family val="0"/>
      <i val="1"/>
      <color rgb="FF6B4A00"/>
      <sz val="8.5"/>
    </font>
    <font>
      <name val="Arial"/>
      <charset val="1"/>
      <family val="0"/>
      <b val="1"/>
      <color rgb="FF991B1B"/>
      <sz val="9"/>
    </font>
    <font>
      <name val="Arial"/>
      <charset val="1"/>
      <family val="0"/>
      <b val="1"/>
      <color rgb="FF7A3800"/>
      <sz val="9"/>
    </font>
    <font>
      <name val="Arial"/>
      <charset val="1"/>
      <family val="0"/>
      <b val="1"/>
      <color rgb="FF4C1D95"/>
      <sz val="9"/>
    </font>
    <font>
      <name val="Arial"/>
      <charset val="1"/>
      <family val="0"/>
      <b val="1"/>
      <color rgb="FF005A8A"/>
      <sz val="9"/>
    </font>
    <font>
      <name val="Arial"/>
      <charset val="1"/>
      <family val="0"/>
      <b val="1"/>
      <color rgb="FF92400E"/>
      <sz val="9"/>
    </font>
    <font>
      <name val="Arial"/>
      <charset val="1"/>
      <family val="0"/>
      <b val="1"/>
      <color rgb="FF1E3A8A"/>
      <sz val="9"/>
    </font>
    <font>
      <name val="Arial"/>
      <charset val="1"/>
      <family val="0"/>
      <b val="1"/>
      <color rgb="FF003D6E"/>
      <sz val="9"/>
    </font>
    <font>
      <name val="Arial"/>
      <charset val="1"/>
      <family val="0"/>
      <b val="1"/>
      <color rgb="FF00C47A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C47A"/>
      <sz val="13"/>
    </font>
    <font>
      <name val="Arial"/>
      <charset val="1"/>
      <family val="0"/>
      <b val="1"/>
      <color rgb="FF0D1520"/>
      <sz val="11"/>
    </font>
    <font>
      <name val="Arial"/>
      <charset val="1"/>
      <family val="0"/>
      <color rgb="FF0D1520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6B42"/>
      <sz val="10"/>
    </font>
    <font>
      <name val="Arial"/>
      <b val="1"/>
      <color rgb="00856404"/>
      <sz val="9"/>
    </font>
    <font>
      <name val="Arial"/>
      <sz val="9"/>
    </font>
    <font>
      <name val="Arial"/>
      <b val="1"/>
      <color rgb="00155724"/>
      <sz val="9"/>
    </font>
  </fonts>
  <fills count="24">
    <fill>
      <patternFill/>
    </fill>
    <fill>
      <patternFill patternType="gray125"/>
    </fill>
    <fill>
      <patternFill patternType="solid">
        <fgColor rgb="FF0D1520"/>
        <bgColor rgb="FF0F172A"/>
      </patternFill>
    </fill>
    <fill>
      <patternFill patternType="solid">
        <fgColor rgb="FFF8F9FB"/>
        <bgColor rgb="FFFAFBFC"/>
      </patternFill>
    </fill>
    <fill>
      <patternFill patternType="solid">
        <fgColor rgb="FFEDE8FF"/>
        <bgColor rgb="FFF3EEFF"/>
      </patternFill>
    </fill>
    <fill>
      <patternFill patternType="solid">
        <fgColor rgb="FFFAFBFC"/>
        <bgColor rgb="FFF8F9FB"/>
      </patternFill>
    </fill>
    <fill>
      <patternFill patternType="solid">
        <fgColor rgb="FFF5F7FA"/>
        <bgColor rgb="FFF8F9FB"/>
      </patternFill>
    </fill>
    <fill>
      <patternFill patternType="solid">
        <fgColor rgb="FFD6F5EA"/>
        <bgColor rgb="FFE0F4FF"/>
      </patternFill>
    </fill>
    <fill>
      <patternFill patternType="solid">
        <fgColor rgb="FFFFE8EA"/>
        <bgColor rgb="FFFFF0DC"/>
      </patternFill>
    </fill>
    <fill>
      <patternFill patternType="solid">
        <fgColor rgb="FFFFF8E1"/>
        <bgColor rgb="FFFFFBF0"/>
      </patternFill>
    </fill>
    <fill>
      <patternFill patternType="solid">
        <fgColor rgb="FFF0F4FF"/>
        <bgColor rgb="FFF3F4F6"/>
      </patternFill>
    </fill>
    <fill>
      <patternFill patternType="solid">
        <fgColor rgb="FFE5E7EB"/>
        <bgColor rgb="FFEDE8FF"/>
      </patternFill>
    </fill>
    <fill>
      <patternFill patternType="solid">
        <fgColor rgb="FFFFFBF0"/>
        <bgColor rgb="FFFAFBFC"/>
      </patternFill>
    </fill>
    <fill>
      <patternFill patternType="solid">
        <fgColor rgb="FFE0F4FF"/>
        <bgColor rgb="FFF0F4FF"/>
      </patternFill>
    </fill>
    <fill>
      <patternFill patternType="solid">
        <fgColor rgb="FFFFF0DC"/>
        <bgColor rgb="FFFFF8E1"/>
      </patternFill>
    </fill>
    <fill>
      <patternFill patternType="solid">
        <fgColor rgb="FFF0F2F5"/>
        <bgColor rgb="FFF3F4F6"/>
      </patternFill>
    </fill>
    <fill>
      <patternFill patternType="solid">
        <fgColor rgb="FFF3EEFF"/>
        <bgColor rgb="FFF0F2F5"/>
      </patternFill>
    </fill>
    <fill>
      <patternFill patternType="solid">
        <fgColor rgb="FFFEF3C7"/>
        <bgColor rgb="FFFFF0DC"/>
      </patternFill>
    </fill>
    <fill>
      <patternFill patternType="solid">
        <fgColor rgb="FFF3F4F6"/>
        <bgColor rgb="FFF0F2F5"/>
      </patternFill>
    </fill>
    <fill>
      <patternFill patternType="solid">
        <fgColor rgb="FF1E3A8A"/>
        <bgColor rgb="FF003D6E"/>
      </patternFill>
    </fill>
    <fill>
      <patternFill patternType="solid">
        <fgColor rgb="FF004D2A"/>
        <bgColor rgb="FF006B42"/>
      </patternFill>
    </fill>
    <fill>
      <patternFill patternType="solid">
        <fgColor rgb="FF006B42"/>
        <bgColor rgb="FF004D2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9" fontId="14" fillId="10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22" fillId="13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left" vertical="center" wrapText="1"/>
    </xf>
    <xf numFmtId="0" fontId="23" fillId="1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left" vertical="center" wrapText="1"/>
    </xf>
    <xf numFmtId="0" fontId="26" fillId="2" borderId="2" applyAlignment="1" pivotButton="0" quotePrefix="0" xfId="0">
      <alignment horizontal="left" vertical="center" wrapText="1"/>
    </xf>
    <xf numFmtId="0" fontId="27" fillId="1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0" fontId="28" fillId="2" borderId="0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30" fillId="4" borderId="1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 wrapText="1"/>
    </xf>
    <xf numFmtId="0" fontId="29" fillId="13" borderId="1" applyAlignment="1" pivotButton="0" quotePrefix="0" xfId="0">
      <alignment horizontal="center" vertical="center" wrapText="1"/>
    </xf>
    <xf numFmtId="0" fontId="30" fillId="13" borderId="1" applyAlignment="1" pivotButton="0" quotePrefix="0" xfId="0">
      <alignment horizontal="center" vertical="center" wrapText="1"/>
    </xf>
    <xf numFmtId="0" fontId="31" fillId="20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left" vertical="center" wrapText="1"/>
    </xf>
    <xf numFmtId="0" fontId="32" fillId="20" borderId="1" applyAlignment="1" pivotButton="0" quotePrefix="0" xfId="0">
      <alignment horizontal="center" vertical="center" wrapText="1"/>
    </xf>
    <xf numFmtId="0" fontId="32" fillId="21" borderId="1" applyAlignment="1" pivotButton="0" quotePrefix="0" xfId="0">
      <alignment horizontal="center" vertical="center" wrapText="1"/>
    </xf>
    <xf numFmtId="9" fontId="32" fillId="1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34" fillId="22" borderId="1" applyAlignment="1" pivotButton="0" quotePrefix="0" xfId="0">
      <alignment horizontal="center" vertical="center"/>
    </xf>
    <xf numFmtId="9" fontId="35" fillId="10" borderId="1" applyAlignment="1" pivotButton="0" quotePrefix="0" xfId="0">
      <alignment horizontal="center" vertical="center"/>
    </xf>
    <xf numFmtId="0" fontId="35" fillId="12" borderId="1" applyAlignment="1" pivotButton="0" quotePrefix="0" xfId="0">
      <alignment vertical="top" wrapText="1"/>
    </xf>
    <xf numFmtId="0" fontId="17" fillId="11" borderId="1" applyAlignment="1" pivotButton="0" quotePrefix="0" xfId="0">
      <alignment horizontal="center" vertical="center" wrapText="1"/>
    </xf>
    <xf numFmtId="9" fontId="14" fillId="10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22" fillId="13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left" vertical="center" wrapText="1"/>
    </xf>
    <xf numFmtId="0" fontId="23" fillId="1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center" wrapText="1"/>
    </xf>
    <xf numFmtId="0" fontId="36" fillId="23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left" vertical="center" wrapText="1"/>
    </xf>
    <xf numFmtId="0" fontId="26" fillId="2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27" fillId="1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0" fontId="28" fillId="2" borderId="0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30" fillId="4" borderId="1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 wrapText="1"/>
    </xf>
    <xf numFmtId="0" fontId="29" fillId="13" borderId="1" applyAlignment="1" pivotButton="0" quotePrefix="0" xfId="0">
      <alignment horizontal="center" vertical="center" wrapText="1"/>
    </xf>
    <xf numFmtId="0" fontId="30" fillId="13" borderId="1" applyAlignment="1" pivotButton="0" quotePrefix="0" xfId="0">
      <alignment horizontal="center" vertical="center" wrapText="1"/>
    </xf>
    <xf numFmtId="0" fontId="31" fillId="20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32" fillId="20" borderId="1" applyAlignment="1" pivotButton="0" quotePrefix="0" xfId="0">
      <alignment horizontal="center" vertical="center" wrapText="1"/>
    </xf>
    <xf numFmtId="0" fontId="32" fillId="21" borderId="1" applyAlignment="1" pivotButton="0" quotePrefix="0" xfId="0">
      <alignment horizontal="center" vertical="center" wrapText="1"/>
    </xf>
    <xf numFmtId="9" fontId="32" fillId="19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C"/>
      <rgbColor rgb="FF00FF00"/>
      <rgbColor rgb="FF0000FF"/>
      <rgbColor rgb="FFFFFBF0"/>
      <rgbColor rgb="FFFF00FF"/>
      <rgbColor rgb="FF00FFFF"/>
      <rgbColor rgb="FF991B1B"/>
      <rgbColor rgb="FF008000"/>
      <rgbColor rgb="FF0F172A"/>
      <rgbColor rgb="FF7A5000"/>
      <rgbColor rgb="FF3B1FA8"/>
      <rgbColor rgb="FF006B42"/>
      <rgbColor rgb="FFEDE8FF"/>
      <rgbColor rgb="FF808080"/>
      <rgbColor rgb="FFF0F4FF"/>
      <rgbColor rgb="FF7A3800"/>
      <rgbColor rgb="FFFFF8E1"/>
      <rgbColor rgb="FFD6F5EA"/>
      <rgbColor rgb="FF4C1D95"/>
      <rgbColor rgb="FFFAFBFC"/>
      <rgbColor rgb="FF005A8A"/>
      <rgbColor rgb="FFD1D5DB"/>
      <rgbColor rgb="FF0D1520"/>
      <rgbColor rgb="FFFF00FF"/>
      <rgbColor rgb="FFF3F4F6"/>
      <rgbColor rgb="FF00FFFF"/>
      <rgbColor rgb="FF800080"/>
      <rgbColor rgb="FF800000"/>
      <rgbColor rgb="FF008080"/>
      <rgbColor rgb="FF0000FF"/>
      <rgbColor rgb="FF00CCFF"/>
      <rgbColor rgb="FFE0F4FF"/>
      <rgbColor rgb="FFE5E7EB"/>
      <rgbColor rgb="FFFEF3C7"/>
      <rgbColor rgb="FFF3EEFF"/>
      <rgbColor rgb="FFFFF0DC"/>
      <rgbColor rgb="FFF0F2F5"/>
      <rgbColor rgb="FFFFE8EA"/>
      <rgbColor rgb="FF3366FF"/>
      <rgbColor rgb="FF00C47A"/>
      <rgbColor rgb="FF99CC00"/>
      <rgbColor rgb="FFF5F7FA"/>
      <rgbColor rgb="FFFF9900"/>
      <rgbColor rgb="FFFF6600"/>
      <rgbColor rgb="FF6B7280"/>
      <rgbColor rgb="FFF8F9FB"/>
      <rgbColor rgb="FF003D6E"/>
      <rgbColor rgb="FF339966"/>
      <rgbColor rgb="FF004D2A"/>
      <rgbColor rgb="FF1A1A2E"/>
      <rgbColor rgb="FF92400E"/>
      <rgbColor rgb="FF6B4A00"/>
      <rgbColor rgb="FF1E3A8A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56" min="1" max="1"/>
    <col width="18" customWidth="1" style="56" min="2" max="2"/>
    <col width="42" customWidth="1" style="56" min="3" max="3"/>
    <col width="48" customWidth="1" style="56" min="4" max="4"/>
    <col width="38" customWidth="1" style="56" min="5" max="5"/>
    <col width="7" customWidth="1" style="56" min="6" max="6"/>
    <col width="12" customWidth="1" style="56" min="7" max="7"/>
    <col width="14" customWidth="1" style="56" min="8" max="8"/>
    <col width="10" customWidth="1" style="56" min="9" max="9"/>
    <col width="12" customWidth="1" style="56" min="10" max="10"/>
    <col width="8" customWidth="1" style="56" min="11" max="11"/>
    <col width="13" customWidth="1" style="56" min="12" max="13"/>
    <col width="28" customWidth="1" style="56" min="14" max="14"/>
  </cols>
  <sheetData>
    <row r="1" ht="30" customHeight="1" s="57">
      <c r="A1" s="58" t="inlineStr">
        <is>
          <t>🛡  SENTINELBET — BACKLOG DE ESTÓRIAS  |  v1.0  |  Março 2026</t>
        </is>
      </c>
    </row>
    <row r="2" ht="31.5" customHeight="1" s="57">
      <c r="A2" s="59" t="inlineStr">
        <is>
          <t>ID</t>
        </is>
      </c>
      <c r="B2" s="59" t="inlineStr">
        <is>
          <t>Épico</t>
        </is>
      </c>
      <c r="C2" s="59" t="inlineStr">
        <is>
          <t>Estória do Usuário</t>
        </is>
      </c>
      <c r="D2" s="59" t="inlineStr">
        <is>
          <t>Critérios de Aceite</t>
        </is>
      </c>
      <c r="E2" s="59" t="inlineStr">
        <is>
          <t>Notas Técnicas</t>
        </is>
      </c>
      <c r="F2" s="59" t="inlineStr">
        <is>
          <t>Fase</t>
        </is>
      </c>
      <c r="G2" s="59" t="inlineStr">
        <is>
          <t>Prioridade</t>
        </is>
      </c>
      <c r="H2" s="59" t="inlineStr">
        <is>
          <t>Complexidade</t>
        </is>
      </c>
      <c r="I2" s="59" t="inlineStr">
        <is>
          <t>Pontos (SP)</t>
        </is>
      </c>
      <c r="J2" s="59" t="inlineStr">
        <is>
          <t>Dev Resp.</t>
        </is>
      </c>
      <c r="K2" s="59" t="inlineStr">
        <is>
          <t>Sprint</t>
        </is>
      </c>
      <c r="L2" s="59" t="inlineStr">
        <is>
          <t>Status</t>
        </is>
      </c>
      <c r="M2" s="59" t="inlineStr">
        <is>
          <t>% Concluído</t>
        </is>
      </c>
      <c r="N2" s="59" t="inlineStr">
        <is>
          <t>Observações</t>
        </is>
      </c>
    </row>
    <row r="3" ht="72" customHeight="1" s="57">
      <c r="A3" s="60" t="inlineStr">
        <is>
          <t>AUTH-01</t>
        </is>
      </c>
      <c r="B3" s="61" t="inlineStr">
        <is>
          <t>🔐 Autenticação</t>
        </is>
      </c>
      <c r="C3" s="62" t="inlineStr">
        <is>
          <t>Como usuário, quero fazer login com minha conta Google para acessar minha conta de forma segura e sem criar senha.</t>
        </is>
      </c>
      <c r="D3" s="63" t="inlineStr">
        <is>
          <t>✔ Botão 'Entrar com Google' na splash/onboarding
✔ OAuth retorna UID, email e display_name
✔ Dados persistidos em Room (tabela users)
✔ Token de sessão salvo em EncryptedSharedPreferences
✔ Logout disponível em Settings
✔ Re-login automático em sessões subsequentes</t>
        </is>
      </c>
      <c r="E3" s="64" t="inlineStr">
        <is>
          <t>firebase-auth + credentials-manager (Google Identity)
Dependências: com.google.firebase:firebase-auth
Configurações: google-services.json, SHA-1 no Firebase Console
Cria: UserRepository, UserEntity em Room</t>
        </is>
      </c>
      <c r="F3" s="65" t="inlineStr">
        <is>
          <t>F1</t>
        </is>
      </c>
      <c r="G3" s="66" t="inlineStr">
        <is>
          <t>🔥 Crítico</t>
        </is>
      </c>
      <c r="H3" s="67" t="inlineStr">
        <is>
          <t>Média</t>
        </is>
      </c>
      <c r="I3" s="68" t="n">
        <v>5</v>
      </c>
      <c r="J3" s="69" t="n"/>
      <c r="K3" s="70" t="inlineStr">
        <is>
          <t>1</t>
        </is>
      </c>
      <c r="L3" s="71" t="inlineStr">
        <is>
          <t>Em andamento</t>
        </is>
      </c>
      <c r="M3" s="72" t="n">
        <v>0.7</v>
      </c>
      <c r="N3" s="73" t="inlineStr">
        <is>
          <t>AuthRepository + AuthViewModel + LoginScreen implementados via Supabase Auth. Falta: preencher credenciais em SupabaseConfig.kt e testar fluxo completo.</t>
        </is>
      </c>
    </row>
    <row r="4" ht="72" customHeight="1" s="57">
      <c r="A4" s="60" t="inlineStr">
        <is>
          <t>AUTH-02</t>
        </is>
      </c>
      <c r="B4" s="61" t="inlineStr">
        <is>
          <t>🔐 Autenticação</t>
        </is>
      </c>
      <c r="C4" s="62" t="inlineStr">
        <is>
          <t>Como usuário, quero que minhas API Keys (Claude e API-Football) sejam armazenadas de forma segura no dispositivo.</t>
        </is>
      </c>
      <c r="D4" s="63" t="inlineStr">
        <is>
          <t>✔ anthropic_key e api_football_key migradas para EncryptedSharedPreferences
✔ Chaves inacessíveis mesmo com root via inspeção de arquivos
✔ Migração transparente (sem perda das chaves já salvas)
✔ Sem regressão nos fluxos existentes de LiveScreen e AnalysisScreen</t>
        </is>
      </c>
      <c r="E4" s="64" t="inlineStr">
        <is>
          <t>androidx.security:security-crypto
MasterkeyAlias.AES256_GCM
Migrar SettingsRepository: substituir SharedPreferences por EncryptedSharedPreferences nas chaves sensíveis</t>
        </is>
      </c>
      <c r="F4" s="65" t="inlineStr">
        <is>
          <t>F1</t>
        </is>
      </c>
      <c r="G4" s="66" t="inlineStr">
        <is>
          <t>🔥 Crítico</t>
        </is>
      </c>
      <c r="H4" s="65" t="inlineStr">
        <is>
          <t>Baixa</t>
        </is>
      </c>
      <c r="I4" s="68" t="n">
        <v>2</v>
      </c>
      <c r="J4" s="69" t="n"/>
      <c r="K4" s="70" t="inlineStr">
        <is>
          <t>1</t>
        </is>
      </c>
      <c r="L4" s="74" t="inlineStr">
        <is>
          <t>Todo</t>
        </is>
      </c>
      <c r="M4" s="75" t="n">
        <v>0</v>
      </c>
      <c r="N4" s="76" t="inlineStr">
        <is>
          <t>Segurança básica — executar junto com AUTH-01</t>
        </is>
      </c>
    </row>
    <row r="5" ht="72" customHeight="1" s="57">
      <c r="A5" s="60" t="inlineStr">
        <is>
          <t>AUTH-03</t>
        </is>
      </c>
      <c r="B5" s="61" t="inlineStr">
        <is>
          <t>🔐 Autenticação</t>
        </is>
      </c>
      <c r="C5" s="62" t="inlineStr">
        <is>
          <t>Como usuário, quero ver uma tela de onboarding ao abrir o app pela primeira vez, com introdução ao produto e CTA de cadastro.</t>
        </is>
      </c>
      <c r="D5" s="63" t="inlineStr">
        <is>
          <t>✔ 3 slides: (1) Análise IA, (2) Ao vivo, (3) Bankroll
✔ Skip disponível em todos os slides
✔ CTA final: 'Criar conta gratuita'
✔ Não exibido em aberturas subsequentes (flag onboarding_done)
✔ Deep link direto para login Google</t>
        </is>
      </c>
      <c r="E5" s="64" t="inlineStr">
        <is>
          <t>OnboardingScreen.kt (nova tela)
Flag: settings.key = 'onboarding_done'
Navegação: splash → onboarding → login → dashboard
HorizontalPager + PagerState do Compose</t>
        </is>
      </c>
      <c r="F5" s="65" t="inlineStr">
        <is>
          <t>F1</t>
        </is>
      </c>
      <c r="G5" s="67" t="inlineStr">
        <is>
          <t>📈 Alto</t>
        </is>
      </c>
      <c r="H5" s="65" t="inlineStr">
        <is>
          <t>Baixa</t>
        </is>
      </c>
      <c r="I5" s="68" t="n">
        <v>3</v>
      </c>
      <c r="J5" s="69" t="n"/>
      <c r="K5" s="70" t="inlineStr">
        <is>
          <t>1</t>
        </is>
      </c>
      <c r="L5" s="74" t="inlineStr">
        <is>
          <t>Todo</t>
        </is>
      </c>
      <c r="M5" s="75" t="n">
        <v>0</v>
      </c>
      <c r="N5" s="76" t="inlineStr">
        <is>
          <t>UX de entrada — impacta conversão do trial</t>
        </is>
      </c>
    </row>
    <row r="6" ht="72" customHeight="1" s="57">
      <c r="A6" s="60" t="inlineStr">
        <is>
          <t>BILL-01</t>
        </is>
      </c>
      <c r="B6" s="77" t="inlineStr">
        <is>
          <t>💳 Billing</t>
        </is>
      </c>
      <c r="C6" s="62" t="inlineStr">
        <is>
          <t>Como produto, preciso integrar o Google Play Billing v6 para cobrar assinaturas mensais, semestrais e anuais.</t>
        </is>
      </c>
      <c r="D6" s="63" t="inlineStr">
        <is>
          <t>✔ Produtos configurados no Play Console: semanal (teste), mensal, semestral, anual
✔ BillingClient conecta e retorna lista de produtos
✔ Purchase flow inicia ao clicar em plano
✔ purchaseToken emitido ao completar compra
✔ Funciona no sandbox de testes
✔ Erros de billing tratados com mensagem amigável</t>
        </is>
      </c>
      <c r="E6" s="64" t="inlineStr">
        <is>
          <t>com.android.billingclient:billing-ktx
BillingRepository.kt (novo)
Produtos: sb_weekly_test, sb_monthly, sb_semiannual, sb_annual
Iniciar BillingClient em Application.kt
Flow: queryProductDetails → launchBillingFlow → handlePurchase</t>
        </is>
      </c>
      <c r="F6" s="65" t="inlineStr">
        <is>
          <t>F1</t>
        </is>
      </c>
      <c r="G6" s="66" t="inlineStr">
        <is>
          <t>🔥 Crítico</t>
        </is>
      </c>
      <c r="H6" s="66" t="inlineStr">
        <is>
          <t>Alta</t>
        </is>
      </c>
      <c r="I6" s="68" t="n">
        <v>8</v>
      </c>
      <c r="J6" s="69" t="n"/>
      <c r="K6" s="78" t="inlineStr">
        <is>
          <t>2</t>
        </is>
      </c>
      <c r="L6" s="74" t="inlineStr">
        <is>
          <t>Todo</t>
        </is>
      </c>
      <c r="M6" s="75" t="n">
        <v>0</v>
      </c>
      <c r="N6" s="76" t="inlineStr">
        <is>
          <t>Bloqueante para toda a monetização</t>
        </is>
      </c>
    </row>
    <row r="7" ht="72" customHeight="1" s="57">
      <c r="A7" s="60" t="inlineStr">
        <is>
          <t>BILL-02</t>
        </is>
      </c>
      <c r="B7" s="77" t="inlineStr">
        <is>
          <t>💳 Billing</t>
        </is>
      </c>
      <c r="C7" s="62" t="inlineStr">
        <is>
          <t>Como produto, preciso verificar server-side se o purchaseToken é válido para evitar fraudes e ativar o plano premium.</t>
        </is>
      </c>
      <c r="D7" s="63" t="inlineStr">
        <is>
          <t>✔ Cloud Function Node.js recebe {purchaseToken, userId, productId}
✔ Valida contra Play Developer API
✔ Grava isPremium=true e expiry_date em Firestore (users/{uid})
✔ Webhook RTD Notifications para renovações e cancelamentos
✔ App atualiza estado premium em tempo real via Firestore listener</t>
        </is>
      </c>
      <c r="E7" s="64" t="inlineStr">
        <is>
          <t>Firebase Cloud Functions (Node.js)
Google Play Developer API (androidpublisher v3)
Firestore: users/{uid}/isPremium, subscription_tier, expiry_date
RetryPolicy no cliente para falhas de rede</t>
        </is>
      </c>
      <c r="F7" s="65" t="inlineStr">
        <is>
          <t>F1</t>
        </is>
      </c>
      <c r="G7" s="66" t="inlineStr">
        <is>
          <t>🔥 Crítico</t>
        </is>
      </c>
      <c r="H7" s="66" t="inlineStr">
        <is>
          <t>Alta</t>
        </is>
      </c>
      <c r="I7" s="68" t="n">
        <v>5</v>
      </c>
      <c r="J7" s="69" t="n"/>
      <c r="K7" s="78" t="inlineStr">
        <is>
          <t>2</t>
        </is>
      </c>
      <c r="L7" s="74" t="inlineStr">
        <is>
          <t>Todo</t>
        </is>
      </c>
      <c r="M7" s="75" t="n">
        <v>0</v>
      </c>
      <c r="N7" s="76" t="inlineStr">
        <is>
          <t>Anti-fraude — obrigatório antes da produção</t>
        </is>
      </c>
    </row>
    <row r="8" ht="72" customHeight="1" s="57">
      <c r="A8" s="60" t="inlineStr">
        <is>
          <t>BILL-03</t>
        </is>
      </c>
      <c r="B8" s="77" t="inlineStr">
        <is>
          <t>💳 Billing</t>
        </is>
      </c>
      <c r="C8" s="62" t="inlineStr">
        <is>
          <t>Como usuário, quero ver uma tela clara com os planos disponíveis, benefícios e opção de trial gratuito para decidir assinar.</t>
        </is>
      </c>
      <c r="D8" s="63" t="inlineStr">
        <is>
          <t>✔ PaywallScreen com 3 planos (mensal/semestral/anual)
✔ Tabela comparativa Free vs Premium
✔ CTA principal: plano anual em destaque
✔ Selo '3 dias grátis' visível
✔ Preço localizado (R$)
✔ Botão 'Talvez depois' para fechar sem assinar
✔ Integra com BILL-01 para iniciar purchase flow</t>
        </is>
      </c>
      <c r="E8" s="64" t="inlineStr">
        <is>
          <t>PaywallScreen.kt (nova tela)
Precisa de: SubscriptionViewModel, BillingRepository
Navegação: paywall acessível via AnalysisScreen CTA bloqueado e Settings
Preços hardcoded (atualizar via Remote Config futuramente)</t>
        </is>
      </c>
      <c r="F8" s="65" t="inlineStr">
        <is>
          <t>F1</t>
        </is>
      </c>
      <c r="G8" s="66" t="inlineStr">
        <is>
          <t>🔥 Crítico</t>
        </is>
      </c>
      <c r="H8" s="65" t="inlineStr">
        <is>
          <t>Baixa</t>
        </is>
      </c>
      <c r="I8" s="68" t="n">
        <v>3</v>
      </c>
      <c r="J8" s="69" t="n"/>
      <c r="K8" s="78" t="inlineStr">
        <is>
          <t>2</t>
        </is>
      </c>
      <c r="L8" s="74" t="inlineStr">
        <is>
          <t>Todo</t>
        </is>
      </c>
      <c r="M8" s="75" t="n">
        <v>0</v>
      </c>
      <c r="N8" s="76" t="inlineStr">
        <is>
          <t>UX de conversão — design impacta taxa de assinatura</t>
        </is>
      </c>
    </row>
    <row r="9" ht="72" customHeight="1" s="57">
      <c r="A9" s="60" t="inlineStr">
        <is>
          <t>BILL-04</t>
        </is>
      </c>
      <c r="B9" s="77" t="inlineStr">
        <is>
          <t>💳 Billing</t>
        </is>
      </c>
      <c r="C9" s="62" t="inlineStr">
        <is>
          <t>Como usuário, quero ter 3 dias de trial gratuito com acesso Premium completo antes de ser cobrado.</t>
        </is>
      </c>
      <c r="D9" s="63" t="inlineStr">
        <is>
          <t>✔ trial_start_date gravado no Firestore ao criar conta
✔ App calcula dias restantes em tempo real
✔ Banner informativo: '2 dias de Premium grátis restantes'
✔ Expiração automática sem cobrança (só cobra se assinar)
✔ Histórico de trial_used = true para não repetir
✔ Convite para assinar no último dia</t>
        </is>
      </c>
      <c r="E9" s="64" t="inlineStr">
        <is>
          <t>TrialManager.kt
Lógica: (trial_start + 3 dias) &gt; now() → isPremium
Integrar com SubscriptionViewModel
Banner em DashboardScreen e AnalysisScreen</t>
        </is>
      </c>
      <c r="F9" s="65" t="inlineStr">
        <is>
          <t>F1</t>
        </is>
      </c>
      <c r="G9" s="66" t="inlineStr">
        <is>
          <t>🔥 Crítico</t>
        </is>
      </c>
      <c r="H9" s="67" t="inlineStr">
        <is>
          <t>Média</t>
        </is>
      </c>
      <c r="I9" s="68" t="n">
        <v>3</v>
      </c>
      <c r="J9" s="69" t="n"/>
      <c r="K9" s="79" t="inlineStr">
        <is>
          <t>3</t>
        </is>
      </c>
      <c r="L9" s="74" t="inlineStr">
        <is>
          <t>Todo</t>
        </is>
      </c>
      <c r="M9" s="75" t="n">
        <v>0</v>
      </c>
      <c r="N9" s="76" t="inlineStr">
        <is>
          <t>Trial sem cartão — menor fricção para ativação</t>
        </is>
      </c>
    </row>
    <row r="10" ht="72" customHeight="1" s="57">
      <c r="A10" s="60" t="inlineStr">
        <is>
          <t>GATE-01</t>
        </is>
      </c>
      <c r="B10" s="80" t="inlineStr">
        <is>
          <t>🚪 Feature Gating</t>
        </is>
      </c>
      <c r="C10" s="62" t="inlineStr">
        <is>
          <t>Como produto, preciso controlar quais features estão disponíveis para usuários Free vs Premium.</t>
        </is>
      </c>
      <c r="D10" s="63" t="inlineStr">
        <is>
          <t>✔ SubscriptionRepository expõe isPremium: StateFlow&lt;Boolean&gt;
✔ Fonte de verdade: Firestore (online) + Room cache (offline)
✔ Atualização em tempo real via Firestore snapshot listener
✔ Estado consistente entre reinicializações do app
✔ Injetado via Hilt em todos os ViewModels relevantes</t>
        </is>
      </c>
      <c r="E10" s="64" t="inlineStr">
        <is>
          <t>SubscriptionRepository.kt (novo)
SubscriptionViewModel.kt (novo)
Hilt module: provideSubscriptionRepository
Room: adicionar isPremium, expiry_date à tabela users
Fluxo: Firestore → Room cache → StateFlow → UI</t>
        </is>
      </c>
      <c r="F10" s="65" t="inlineStr">
        <is>
          <t>F1</t>
        </is>
      </c>
      <c r="G10" s="66" t="inlineStr">
        <is>
          <t>🔥 Crítico</t>
        </is>
      </c>
      <c r="H10" s="67" t="inlineStr">
        <is>
          <t>Média</t>
        </is>
      </c>
      <c r="I10" s="68" t="n">
        <v>4</v>
      </c>
      <c r="J10" s="69" t="n"/>
      <c r="K10" s="78" t="inlineStr">
        <is>
          <t>2</t>
        </is>
      </c>
      <c r="L10" s="71" t="inlineStr">
        <is>
          <t>Em andamento</t>
        </is>
      </c>
      <c r="M10" s="72" t="n">
        <v>0.8</v>
      </c>
      <c r="N10" s="73" t="inlineStr">
        <is>
          <t>SubscriptionRepository com feature gates FREE/PRO. getPlan() via Supabase. Falta: integrar com BILL-01 para ativar PRO real.</t>
        </is>
      </c>
    </row>
    <row r="11" ht="72" customHeight="1" s="57">
      <c r="A11" s="60" t="inlineStr">
        <is>
          <t>GATE-02</t>
        </is>
      </c>
      <c r="B11" s="80" t="inlineStr">
        <is>
          <t>🚪 Feature Gating</t>
        </is>
      </c>
      <c r="C11" s="62" t="inlineStr">
        <is>
          <t>Como usuário Free, quando tentar usar a 2ª análise IA do dia, quero ver uma mensagem clara de bloqueio com opção de upgrade.</t>
        </is>
      </c>
      <c r="D11" s="63" t="inlineStr">
        <is>
          <t>✔ Contador daily_analyses_used persistido em Room (reset à meia-noite)
✔ Usuário Free: limite de 1 análise IA por dia
✔ Ao atingir o limite: modal de paywall com mensagem contextual
✔ Mensagem: 'Você usou sua análise gratuita de hoje. Assine para análises ilimitadas.'
✔ CTA: 'Ver planos' → navega para PaywallScreen
✔ Premium não vê bloqueio</t>
        </is>
      </c>
      <c r="E11" s="64" t="inlineStr">
        <is>
          <t>DailyLimitManager.kt
Integrar em AnalysisViewModel.streamAiAnalysis()
Room: daily_ai_count (Int) + count_date (String YYYY-MM-DD)
Reset: se count_date != today → zerar contador</t>
        </is>
      </c>
      <c r="F11" s="65" t="inlineStr">
        <is>
          <t>F1</t>
        </is>
      </c>
      <c r="G11" s="66" t="inlineStr">
        <is>
          <t>🔥 Crítico</t>
        </is>
      </c>
      <c r="H11" s="65" t="inlineStr">
        <is>
          <t>Baixa</t>
        </is>
      </c>
      <c r="I11" s="68" t="n">
        <v>2</v>
      </c>
      <c r="J11" s="69" t="n"/>
      <c r="K11" s="79" t="inlineStr">
        <is>
          <t>3</t>
        </is>
      </c>
      <c r="L11" s="71" t="inlineStr">
        <is>
          <t>Em andamento</t>
        </is>
      </c>
      <c r="M11" s="72" t="n">
        <v>0.75</v>
      </c>
      <c r="N11" s="73" t="inlineStr">
        <is>
          <t>PaywallScreen criada. Gates no NavHost (AI_ANALYSIS bloqueado para FREE). ValueBetsScreen limita a 3 bets + banner. Falta: BILL-01.</t>
        </is>
      </c>
    </row>
    <row r="12" ht="72" customHeight="1" s="57">
      <c r="A12" s="60" t="inlineStr">
        <is>
          <t>GATE-03</t>
        </is>
      </c>
      <c r="B12" s="80" t="inlineStr">
        <is>
          <t>🚪 Feature Gating</t>
        </is>
      </c>
      <c r="C12" s="62" t="inlineStr">
        <is>
          <t>Como usuário Free, quero ver indicadores visuais do que está disponível no plano gratuito vs premium em todas as telas.</t>
        </is>
      </c>
      <c r="D12" s="63" t="inlineStr">
        <is>
          <t>✔ Ícone 👑 ou cadeado nos CTAs bloqueados
✔ ValueBetsScreen: lista truncada (exibe 1, bloqueia os demais)
✔ HistoryScreen: histórico limitado a 7 dias para Free
✔ BankrollScreen: Kelly calculator disponível para todos (alavanca de conversão)
✔ Toque em feature bloqueada → PaywallScreen</t>
        </is>
      </c>
      <c r="E12" s="64" t="inlineStr">
        <is>
          <t>PremiumBadge composable reutilizável
Locais: ValueBetsScreen (lista), HistoryScreen (filtro de período)
Não bloquear: BankrollScreen, LiveScreen (engajamento)
Estratégia: sempre mostrar o valor, nunca esconder completamente</t>
        </is>
      </c>
      <c r="F12" s="65" t="inlineStr">
        <is>
          <t>F1</t>
        </is>
      </c>
      <c r="G12" s="67" t="inlineStr">
        <is>
          <t>📈 Alto</t>
        </is>
      </c>
      <c r="H12" s="65" t="inlineStr">
        <is>
          <t>Baixa</t>
        </is>
      </c>
      <c r="I12" s="68" t="n">
        <v>2</v>
      </c>
      <c r="J12" s="69" t="n"/>
      <c r="K12" s="79" t="inlineStr">
        <is>
          <t>3</t>
        </is>
      </c>
      <c r="L12" s="71" t="inlineStr">
        <is>
          <t>Em andamento</t>
        </is>
      </c>
      <c r="M12" s="72" t="n">
        <v>0.3</v>
      </c>
      <c r="N12" s="73" t="inlineStr">
        <is>
          <t>AppUser.plan propagado para AuthViewModel. canAccess() exposto. Falta: usar em Live Premium e exportação histórico.</t>
        </is>
      </c>
    </row>
    <row r="13" ht="72" customHeight="1" s="57">
      <c r="A13" s="60" t="inlineStr">
        <is>
          <t>INFRA-01</t>
        </is>
      </c>
      <c r="B13" s="81" t="inlineStr">
        <is>
          <t>🏗️ Infra</t>
        </is>
      </c>
      <c r="C13" s="62" t="inlineStr">
        <is>
          <t>Como time, precisamos de um pipeline de CI/CD que faça build, assine e envie o AAB ao Play Console automaticamente.</t>
        </is>
      </c>
      <c r="D13" s="63" t="inlineStr">
        <is>
          <t>✔ GitHub Actions: workflow em push para main e PRs
✔ Build AAB release assinado com keystore
✔ Upload automático para internal testing track no Play Console
✔ Fastlane supply para metadata
✔ Firebase Crashlytics integrado no build
✔ Slack/GitHub notification ao final do pipeline</t>
        </is>
      </c>
      <c r="E13" s="64" t="inlineStr">
        <is>
          <t>GitHub Actions: .github/workflows/release.yml
Secrets: KEYSTORE_BASE64, KEY_ALIAS, KEY_PASSWORD, PLAY_SERVICE_ACCOUNT_JSON
Fastlane: Gemfile + Appfile + Fastfile
Gradle: flavor release com signingConfig</t>
        </is>
      </c>
      <c r="F13" s="65" t="inlineStr">
        <is>
          <t>F1</t>
        </is>
      </c>
      <c r="G13" s="66" t="inlineStr">
        <is>
          <t>🔥 Crítico</t>
        </is>
      </c>
      <c r="H13" s="67" t="inlineStr">
        <is>
          <t>Média</t>
        </is>
      </c>
      <c r="I13" s="68" t="n">
        <v>4</v>
      </c>
      <c r="J13" s="69" t="n"/>
      <c r="K13" s="82" t="inlineStr">
        <is>
          <t>4</t>
        </is>
      </c>
      <c r="L13" s="71" t="inlineStr">
        <is>
          <t>Em andamento</t>
        </is>
      </c>
      <c r="M13" s="72" t="n">
        <v>0.8</v>
      </c>
      <c r="N13" s="73" t="inlineStr">
        <is>
          <t>SupabaseClient configurado com Auth+Postgrest+Realtime. SupabaseModule Hilt. Credenciais preenchidas em SupabaseConfig.kt. Falta: testar conexão em prod.</t>
        </is>
      </c>
    </row>
    <row r="14" ht="72" customHeight="1" s="57">
      <c r="A14" s="60" t="inlineStr">
        <is>
          <t>INFRA-02</t>
        </is>
      </c>
      <c r="B14" s="81" t="inlineStr">
        <is>
          <t>🏗️ Infra</t>
        </is>
      </c>
      <c r="C14" s="62" t="inlineStr">
        <is>
          <t>Como time, precisamos publicar o app na Play Store com ficha completa em PT-BR para iniciar o open testing.</t>
        </is>
      </c>
      <c r="D14" s="63" t="inlineStr">
        <is>
          <t>✔ Ficha PT-BR: título, descrição curta, descrição longa
✔ 8 screenshots (phone portrait): telas principais
✔ Ícone 512x512 e feature graphic 1024x500
✔ Política de privacidade publicada (URL obrigatória)
✔ Classificação etária preenchida (IARC)
✔ App publicado em internal → closed → open testing</t>
        </is>
      </c>
      <c r="E14" s="64" t="inlineStr">
        <is>
          <t>Política de privacidade: GitHub Pages ou Notion público
Screenshots: capturar no emulador Pixel 6 API 34
Título sugerido: 'SentinelBet — Análise de Apostas'
Keywords: apostas esportivas, value bet, análise futebol</t>
        </is>
      </c>
      <c r="F14" s="65" t="inlineStr">
        <is>
          <t>F1</t>
        </is>
      </c>
      <c r="G14" s="66" t="inlineStr">
        <is>
          <t>🔥 Crítico</t>
        </is>
      </c>
      <c r="H14" s="65" t="inlineStr">
        <is>
          <t>Baixa</t>
        </is>
      </c>
      <c r="I14" s="68" t="n">
        <v>3</v>
      </c>
      <c r="J14" s="69" t="n"/>
      <c r="K14" s="82" t="inlineStr">
        <is>
          <t>4</t>
        </is>
      </c>
      <c r="L14" s="74" t="inlineStr">
        <is>
          <t>Todo</t>
        </is>
      </c>
      <c r="M14" s="75" t="n">
        <v>0</v>
      </c>
      <c r="N14" s="76" t="inlineStr">
        <is>
          <t>Play Store review pode levar 3–7 dias — submeter cedo</t>
        </is>
      </c>
    </row>
    <row r="15" ht="72" customHeight="1" s="57">
      <c r="A15" s="60" t="inlineStr">
        <is>
          <t>INFRA-03</t>
        </is>
      </c>
      <c r="B15" s="81" t="inlineStr">
        <is>
          <t>🏗️ Infra</t>
        </is>
      </c>
      <c r="C15" s="62" t="inlineStr">
        <is>
          <t>Como time, precisamos de monitoring de crashes e analytics de funil para medir conversão após o lançamento.</t>
        </is>
      </c>
      <c r="D15" s="63" t="inlineStr">
        <is>
          <t>✔ Firebase Crashlytics: crash-free rate &gt; 99% como meta
✔ Firebase Analytics: eventos customizados de funil
✔ Eventos: app_open, analysis_started, analysis_completed, paywall_shown, subscription_started, subscription_completed
✔ Dashboard no Firebase Console com funil de conversão</t>
        </is>
      </c>
      <c r="E15" s="64" t="inlineStr">
        <is>
          <t>com.google.firebase:firebase-crashlytics-ktx
com.google.firebase:firebase-analytics-ktx
AnalyticsHelper.kt: wrapper para logEvent()
Integrar em: AnalysisViewModel, PaywallScreen, BillingRepository</t>
        </is>
      </c>
      <c r="F15" s="65" t="inlineStr">
        <is>
          <t>F1</t>
        </is>
      </c>
      <c r="G15" s="67" t="inlineStr">
        <is>
          <t>📈 Alto</t>
        </is>
      </c>
      <c r="H15" s="65" t="inlineStr">
        <is>
          <t>Baixa</t>
        </is>
      </c>
      <c r="I15" s="68" t="n">
        <v>2</v>
      </c>
      <c r="J15" s="69" t="n"/>
      <c r="K15" s="82" t="inlineStr">
        <is>
          <t>4</t>
        </is>
      </c>
      <c r="L15" s="74" t="inlineStr">
        <is>
          <t>Todo</t>
        </is>
      </c>
      <c r="M15" s="75" t="n">
        <v>0</v>
      </c>
      <c r="N15" s="76" t="inlineStr">
        <is>
          <t>Sem dados não há como otimizar — implementar desde o dia 1</t>
        </is>
      </c>
    </row>
    <row r="16" ht="72" customHeight="1" s="57">
      <c r="A16" s="60" t="inlineStr">
        <is>
          <t>AI-01</t>
        </is>
      </c>
      <c r="B16" s="83" t="inlineStr">
        <is>
          <t>🧠 IA Melhorada</t>
        </is>
      </c>
      <c r="C16" s="62" t="inlineStr">
        <is>
          <t>Como usuário Premium, quero que a análise IA inclua a forma recente dos times (últimas 5 partidas) para insights mais precisos.</t>
        </is>
      </c>
      <c r="D16" s="63" t="inlineStr">
        <is>
          <t>✔ Endpoint /teams/statistics chamado antes da análise
✔ Forma formatada como string: 'VVDPV' (V=Vitória, D=Empate, P=Derrota)
✔ Incluída no user message do prompt
✔ Cache de 24h para não consumir cota da API-Football desnecessariamente
✔ Fallback gracioso se endpoint retornar erro (análise prossegue sem esse dado)</t>
        </is>
      </c>
      <c r="E16" s="64" t="inlineStr">
        <is>
          <t>ApiFootballRepository.kt: adicionar getTeamForm(teamId, leagueId)
ComputeAnalysisUseCase.kt: enriquecer buildUserMessage() com home_form e away_form
Room: cache analyses deve incluir os dados de forma na expiração</t>
        </is>
      </c>
      <c r="F16" s="67" t="inlineStr">
        <is>
          <t>F2</t>
        </is>
      </c>
      <c r="G16" s="67" t="inlineStr">
        <is>
          <t>📈 Alto</t>
        </is>
      </c>
      <c r="H16" s="65" t="inlineStr">
        <is>
          <t>Baixa</t>
        </is>
      </c>
      <c r="I16" s="68" t="n">
        <v>2</v>
      </c>
      <c r="J16" s="69" t="n"/>
      <c r="K16" s="70" t="inlineStr">
        <is>
          <t>5</t>
        </is>
      </c>
      <c r="L16" s="74" t="inlineStr">
        <is>
          <t>Todo</t>
        </is>
      </c>
      <c r="M16" s="75" t="n">
        <v>0</v>
      </c>
      <c r="N16" s="76" t="inlineStr">
        <is>
          <t>Melhora percebida da qualidade da IA — impacta NPS</t>
        </is>
      </c>
    </row>
    <row r="17" ht="72" customHeight="1" s="57">
      <c r="A17" s="60" t="inlineStr">
        <is>
          <t>AI-02</t>
        </is>
      </c>
      <c r="B17" s="83" t="inlineStr">
        <is>
          <t>🧠 IA Melhorada</t>
        </is>
      </c>
      <c r="C17" s="62" t="inlineStr">
        <is>
          <t>Como usuário Premium, quero que a análise inclua histórico de confrontos diretos (H2H últimas 5 partidas) entre os times.</t>
        </is>
      </c>
      <c r="D17" s="63" t="inlineStr">
        <is>
          <t>✔ Endpoint /fixtures/headtohead chamado com homeTeamId e awayTeamId
✔ Resumo formatado: '3V 1E 1D (Casa ganhou 3 dos últimos 5)'
✔ Incluído no user message do prompt
✔ Cache de 6h
✔ Fallback se não houver histórico suficiente</t>
        </is>
      </c>
      <c r="E17" s="64" t="inlineStr">
        <is>
          <t>ApiFootballRepository.kt: getH2H(homeId, awayId)
Parsar últimas 5 partidas: calcular wins/draws/losses da perspectiva do time da casa
Integrar em buildUserMessage()</t>
        </is>
      </c>
      <c r="F17" s="67" t="inlineStr">
        <is>
          <t>F2</t>
        </is>
      </c>
      <c r="G17" s="67" t="inlineStr">
        <is>
          <t>📈 Alto</t>
        </is>
      </c>
      <c r="H17" s="65" t="inlineStr">
        <is>
          <t>Baixa</t>
        </is>
      </c>
      <c r="I17" s="68" t="n">
        <v>2</v>
      </c>
      <c r="J17" s="69" t="n"/>
      <c r="K17" s="70" t="inlineStr">
        <is>
          <t>5</t>
        </is>
      </c>
      <c r="L17" s="74" t="inlineStr">
        <is>
          <t>Todo</t>
        </is>
      </c>
      <c r="M17" s="75" t="n">
        <v>0</v>
      </c>
      <c r="N17" s="76" t="inlineStr">
        <is>
          <t>Executar junto com AI-01 — mesmo contexto de código</t>
        </is>
      </c>
    </row>
    <row r="18" ht="72" customHeight="1" s="57">
      <c r="A18" s="60" t="inlineStr">
        <is>
          <t>AI-03</t>
        </is>
      </c>
      <c r="B18" s="83" t="inlineStr">
        <is>
          <t>🧠 IA Melhorada</t>
        </is>
      </c>
      <c r="C18" s="62" t="inlineStr">
        <is>
          <t>Como usuário Premium, quero que as odds reais de mercado sejam usadas na análise para calcular edge com maior precisão.</t>
        </is>
      </c>
      <c r="D18" s="63" t="inlineStr">
        <is>
          <t>✔ Endpoint /odds?fixture=ID chamado antes da análise
✔ Odds reais de Bet365 e Betano incluídas no user message
✔ Substituem as odds sintéticas geradas localmente
✔ Edge calculado com base nas odds reais
✔ Cache de 1h
✔ Fallback para odds sintéticas se API retornar erro</t>
        </is>
      </c>
      <c r="E18" s="64" t="inlineStr">
        <is>
          <t>ApiFootballRepository.kt: getOdds(fixtureId) — já existe, adaptar para retornar para o use case
ComputeAnalysisUseCase.kt: adicionar odd_home, odd_draw, odd_away ao user message
Remover simulação de bookmakers sintéticos se odds reais disponíveis</t>
        </is>
      </c>
      <c r="F18" s="67" t="inlineStr">
        <is>
          <t>F2</t>
        </is>
      </c>
      <c r="G18" s="67" t="inlineStr">
        <is>
          <t>📈 Alto</t>
        </is>
      </c>
      <c r="H18" s="65" t="inlineStr">
        <is>
          <t>Baixa</t>
        </is>
      </c>
      <c r="I18" s="68" t="n">
        <v>1</v>
      </c>
      <c r="J18" s="69" t="n"/>
      <c r="K18" s="70" t="inlineStr">
        <is>
          <t>5</t>
        </is>
      </c>
      <c r="L18" s="74" t="inlineStr">
        <is>
          <t>Todo</t>
        </is>
      </c>
      <c r="M18" s="75" t="n">
        <v>0</v>
      </c>
      <c r="N18" s="76" t="inlineStr">
        <is>
          <t>1 dia de esforço, alto impacto na qualidade</t>
        </is>
      </c>
    </row>
    <row r="19" ht="72" customHeight="1" s="57">
      <c r="A19" s="60" t="inlineStr">
        <is>
          <t>AI-04</t>
        </is>
      </c>
      <c r="B19" s="83" t="inlineStr">
        <is>
          <t>🧠 IA Melhorada</t>
        </is>
      </c>
      <c r="C19" s="62" t="inlineStr">
        <is>
          <t>Como usuário, quero poder dar feedback (👍/👎) em cada análise para ajudar a melhorar a qualidade ao longo do tempo.</t>
        </is>
      </c>
      <c r="D19" s="63" t="inlineStr">
        <is>
          <t>✔ Botões 👍 e 👎 no final do texto de análise
✔ Feedback salvo em Room (analyses.feedback: 'up'|'down'|null)
✔ Taxa de aprovação exibida em Settings (ex: '78% aprovaram')
✔ Dados agregados enviados para Firestore para análise futura</t>
        </is>
      </c>
      <c r="E19" s="64" t="inlineStr">
        <is>
          <t>Adicionar campo feedback TEXT em analyses table
AnalysisViewModel: saveFeedback(analysisId, value)
UI: FeedbackRow composable em AnalysisScreen
Firestore: analyses_feedback/{uid}/records para análise futura</t>
        </is>
      </c>
      <c r="F19" s="84" t="inlineStr">
        <is>
          <t>F3</t>
        </is>
      </c>
      <c r="G19" s="84" t="inlineStr">
        <is>
          <t>🔵 Médio</t>
        </is>
      </c>
      <c r="H19" s="65" t="inlineStr">
        <is>
          <t>Baixa</t>
        </is>
      </c>
      <c r="I19" s="68" t="n">
        <v>1</v>
      </c>
      <c r="J19" s="69" t="n"/>
      <c r="K19" s="79" t="inlineStr">
        <is>
          <t>7</t>
        </is>
      </c>
      <c r="L19" s="74" t="inlineStr">
        <is>
          <t>Todo</t>
        </is>
      </c>
      <c r="M19" s="75" t="n">
        <v>0</v>
      </c>
      <c r="N19" s="76" t="inlineStr">
        <is>
          <t>Base para fine-tuning futuro do prompt</t>
        </is>
      </c>
    </row>
    <row r="20" ht="72" customHeight="1" s="57">
      <c r="A20" s="60" t="inlineStr">
        <is>
          <t>LIVE-01</t>
        </is>
      </c>
      <c r="B20" s="85" t="inlineStr">
        <is>
          <t>⚡ Ao Vivo</t>
        </is>
      </c>
      <c r="C20" s="62" t="inlineStr">
        <is>
          <t>Como usuário, quero poder favoritar times e ligas para personalizar minha experiência no app.</t>
        </is>
      </c>
      <c r="D20" s="63" t="inlineStr">
        <is>
          <t>✔ Ícone ❤ nos cards de fixtures e nas opções de liga
✔ Favoritos persistidos em Room (tabela favorites)
✔ Aba 'Meus Jogos' ou filtro dedicado no LiveScreen
✔ Dashboard mostra jogos de times favoritos em destaque
✔ Favoritos usados pelos alertas (LIVE-02 e PUSH-01)</t>
        </is>
      </c>
      <c r="E20" s="64" t="inlineStr">
        <is>
          <t>FavoritesEntity.kt + FavoritesDao.kt + FavoritesRepository.kt
Tabela: id, user_id, type ('team'|'league'), external_id, name
LiveScreen: filtro 'Favoritos' como primeira opção
DashboardScreen: seção 'Seus times hoje'</t>
        </is>
      </c>
      <c r="F20" s="67" t="inlineStr">
        <is>
          <t>F2</t>
        </is>
      </c>
      <c r="G20" s="67" t="inlineStr">
        <is>
          <t>📈 Alto</t>
        </is>
      </c>
      <c r="H20" s="65" t="inlineStr">
        <is>
          <t>Baixa</t>
        </is>
      </c>
      <c r="I20" s="68" t="n">
        <v>2</v>
      </c>
      <c r="J20" s="69" t="n"/>
      <c r="K20" s="70" t="inlineStr">
        <is>
          <t>5</t>
        </is>
      </c>
      <c r="L20" s="74" t="inlineStr">
        <is>
          <t>Todo</t>
        </is>
      </c>
      <c r="M20" s="75" t="n">
        <v>0</v>
      </c>
      <c r="N20" s="76" t="inlineStr">
        <is>
          <t>Pré-requisito para alertas personalizados</t>
        </is>
      </c>
    </row>
    <row r="21" ht="72" customHeight="1" s="57">
      <c r="A21" s="60" t="inlineStr">
        <is>
          <t>LIVE-02</t>
        </is>
      </c>
      <c r="B21" s="85" t="inlineStr">
        <is>
          <t>⚡ Ao Vivo</t>
        </is>
      </c>
      <c r="C21" s="62" t="inlineStr">
        <is>
          <t>Como usuário, quero receber alertas inteligentes durante os jogos dos meus times favoritos com base em eventos do jogo.</t>
        </is>
      </c>
      <c r="D21" s="63" t="inlineStr">
        <is>
          <t>✔ EventProcessor roda a cada 90s nos jogos favoritos ativos
✔ Regras implementadas:
  • 'Alta chance de gol': 3+ chutes seguidos sem marcar
  • 'Pressão intensa': posse &gt;65% + 4+ escanteios no 2T
  • 'Mudança de momentum': 3 chances em 10 min por time perdendo
✔ Alerta exibido como notificação local (sem FCM ainda)
✔ Histórico de alertas em tela dedicada (AlertsScreen ou overlay)</t>
        </is>
      </c>
      <c r="E21" s="64" t="inlineStr">
        <is>
          <t>EventProcessor.kt: sealed class AlertType, regras determinísticas
Polling: WorkManager periodic task a cada 90s
Android notification local via NotificationManager
Dependência: LIVE-01 (favoritos)</t>
        </is>
      </c>
      <c r="F21" s="67" t="inlineStr">
        <is>
          <t>F2</t>
        </is>
      </c>
      <c r="G21" s="67" t="inlineStr">
        <is>
          <t>📈 Alto</t>
        </is>
      </c>
      <c r="H21" s="67" t="inlineStr">
        <is>
          <t>Média</t>
        </is>
      </c>
      <c r="I21" s="68" t="n">
        <v>3</v>
      </c>
      <c r="J21" s="69" t="n"/>
      <c r="K21" s="78" t="inlineStr">
        <is>
          <t>6</t>
        </is>
      </c>
      <c r="L21" s="74" t="inlineStr">
        <is>
          <t>Todo</t>
        </is>
      </c>
      <c r="M21" s="75" t="n">
        <v>0</v>
      </c>
      <c r="N21" s="76" t="inlineStr">
        <is>
          <t>Sem IA — custo zero. Alta percepção de valor</t>
        </is>
      </c>
    </row>
    <row r="22" ht="72" customHeight="1" s="57">
      <c r="A22" s="60" t="inlineStr">
        <is>
          <t>LIVE-03</t>
        </is>
      </c>
      <c r="B22" s="85" t="inlineStr">
        <is>
          <t>⚡ Ao Vivo</t>
        </is>
      </c>
      <c r="C22" s="62" t="inlineStr">
        <is>
          <t>Como usuário Premium, quero solicitar uma análise IA do jogo em andamento para obter insights táticos em tempo real.</t>
        </is>
      </c>
      <c r="D22" s="63" t="inlineStr">
        <is>
          <t>✔ Botão 'Analisar ao vivo' em cada FixtureCard (só Premium)
✔ Prompt ao vivo: placar atual, minuto, stats da partida
✔ Resposta em streaming (&lt;150 palavras, concisa)
✔ Limite: 5 análises ao vivo por dia por usuário Premium
✔ Contador exibido: 'Análises ao vivo: 3/5 usadas hoje'
✔ Usuário Free vê lock icon → PaywallScreen</t>
        </is>
      </c>
      <c r="E22" s="64" t="inlineStr">
        <is>
          <t>ComputeAnalysisUseCase.kt: streamLiveAnalysis(fixture)
Prompt ao vivo: system prompt menor (~400 tokens), max_tokens: 400
FixturesViewModel: liveAnalysisState: Map&lt;fixtureId, LiveAnalysisUiState&gt;
Room: daily_live_count + live_count_date (por usuário)</t>
        </is>
      </c>
      <c r="F22" s="84" t="inlineStr">
        <is>
          <t>F3</t>
        </is>
      </c>
      <c r="G22" s="84" t="inlineStr">
        <is>
          <t>🔵 Médio</t>
        </is>
      </c>
      <c r="H22" s="66" t="inlineStr">
        <is>
          <t>Alta</t>
        </is>
      </c>
      <c r="I22" s="68" t="n">
        <v>5</v>
      </c>
      <c r="J22" s="69" t="n"/>
      <c r="K22" s="82" t="inlineStr">
        <is>
          <t>8</t>
        </is>
      </c>
      <c r="L22" s="74" t="inlineStr">
        <is>
          <t>Todo</t>
        </is>
      </c>
      <c r="M22" s="75" t="n">
        <v>0</v>
      </c>
      <c r="N22" s="76" t="inlineStr">
        <is>
          <t>Feature premium diferencial — implementar após infra de billing</t>
        </is>
      </c>
    </row>
    <row r="23" ht="72" customHeight="1" s="57">
      <c r="A23" s="60" t="inlineStr">
        <is>
          <t>PUSH-01</t>
        </is>
      </c>
      <c r="B23" s="86" t="inlineStr">
        <is>
          <t>🔔 Push</t>
        </is>
      </c>
      <c r="C23" s="62" t="inlineStr">
        <is>
          <t>Como time, precisamos da infraestrutura de push notifications (FCM + WorkManager) para enviar alertas pro-ativos.</t>
        </is>
      </c>
      <c r="D23" s="63" t="inlineStr">
        <is>
          <t>✔ Firebase Cloud Messaging integrado
✔ Token FCM registrado no Firestore ao fazer login
✔ Canal de notificação Android criado: 'Alertas de Jogos'
✔ WorkManager: NotificationWorker agenável e cancelável
✔ Permissão de notificação solicitada em onboarding (Android 13+)
✔ Configurações de notificação em Settings (ligar/desligar por tipo)</t>
        </is>
      </c>
      <c r="E23" s="64" t="inlineStr">
        <is>
          <t>com.google.firebase:firebase-messaging-ktx
NotificationWorker.kt (WorkManager)
NotificationManager: createNotificationChannel()
Firestore: users/{uid}/fcm_token
Settings: notify_goals, notify_prematch, notify_value_bets (boolean flags)</t>
        </is>
      </c>
      <c r="F23" s="84" t="inlineStr">
        <is>
          <t>F3</t>
        </is>
      </c>
      <c r="G23" s="84" t="inlineStr">
        <is>
          <t>🔵 Médio</t>
        </is>
      </c>
      <c r="H23" s="67" t="inlineStr">
        <is>
          <t>Média</t>
        </is>
      </c>
      <c r="I23" s="68" t="n">
        <v>4</v>
      </c>
      <c r="J23" s="69" t="n"/>
      <c r="K23" s="79" t="inlineStr">
        <is>
          <t>7</t>
        </is>
      </c>
      <c r="L23" s="74" t="inlineStr">
        <is>
          <t>Todo</t>
        </is>
      </c>
      <c r="M23" s="75" t="n">
        <v>0</v>
      </c>
      <c r="N23" s="76" t="inlineStr">
        <is>
          <t>Infra base — obrigatória antes de PUSH-02 e PUSH-03</t>
        </is>
      </c>
    </row>
    <row r="24" ht="72" customHeight="1" s="57">
      <c r="A24" s="60" t="inlineStr">
        <is>
          <t>PUSH-02</t>
        </is>
      </c>
      <c r="B24" s="86" t="inlineStr">
        <is>
          <t>🔔 Push</t>
        </is>
      </c>
      <c r="C24" s="62" t="inlineStr">
        <is>
          <t>Como usuário, quero receber uma notificação 30 minutos antes do início dos jogos dos meus times favoritos.</t>
        </is>
      </c>
      <c r="D24" s="63" t="inlineStr">
        <is>
          <t>✔ WorkManager scheduled job: lê favoritos, calcula kickoff - 30min
✔ Notificação: 'Arsenal vs Chelsea começa em 30 min ⚽'
✔ Toque na notificação: abre LiveScreen filtrado para o jogo
✔ Não enviar se usuário tiver desabilitado em Settings
✔ Cancelar job se jogo for adiado (verificar /fixtures por ID)</t>
        </is>
      </c>
      <c r="E24" s="64" t="inlineStr">
        <is>
          <t>PrematchAlertScheduler.kt
Algoritmo: diariamente às 08:00 → buscar fixtures do dia → agendar OneTimeWorkRequest para kickoff - 30min
Deep link: sentinelbet://live?fixtureId={id}
Dependência: PUSH-01, LIVE-01 (favoritos)</t>
        </is>
      </c>
      <c r="F24" s="84" t="inlineStr">
        <is>
          <t>F3</t>
        </is>
      </c>
      <c r="G24" s="84" t="inlineStr">
        <is>
          <t>🔵 Médio</t>
        </is>
      </c>
      <c r="H24" s="65" t="inlineStr">
        <is>
          <t>Baixa</t>
        </is>
      </c>
      <c r="I24" s="68" t="n">
        <v>2</v>
      </c>
      <c r="J24" s="69" t="n"/>
      <c r="K24" s="79" t="inlineStr">
        <is>
          <t>7</t>
        </is>
      </c>
      <c r="L24" s="74" t="inlineStr">
        <is>
          <t>Todo</t>
        </is>
      </c>
      <c r="M24" s="75" t="n">
        <v>0</v>
      </c>
      <c r="N24" s="76" t="inlineStr">
        <is>
          <t>Aumenta DAU e retenção — executar junto com PUSH-01</t>
        </is>
      </c>
    </row>
    <row r="25" ht="72" customHeight="1" s="57">
      <c r="A25" s="60" t="inlineStr">
        <is>
          <t>PUSH-03</t>
        </is>
      </c>
      <c r="B25" s="86" t="inlineStr">
        <is>
          <t>🔔 Push</t>
        </is>
      </c>
      <c r="C25" s="62" t="inlineStr">
        <is>
          <t>Como usuário Premium, quero receber notificações de value bets detectadas nos jogos dos meus times favoritos.</t>
        </is>
      </c>
      <c r="D25" s="63" t="inlineStr">
        <is>
          <t>✔ Value bet detectada (edge &gt; 5%) → notificação push
✔ Notificação: '💎 Value Bet: Arsenal Over 2.5 | Edge +7.2% | Odd 1.95'
✔ Toque abre AnalysisScreen da partida
✔ Máximo: 3 notificações por dia para não cansar o usuário
✔ Só para usuários Premium
✔ Opt-out em Settings</t>
        </is>
      </c>
      <c r="E25" s="64" t="inlineStr">
        <is>
          <t>ValueBetAlertService.kt
Trigger: quando ComputeAnalysisUseCase detecta value bet com edge &gt; 5%
FCM server-side via Cloud Function (para garantia de entrega)
Prioridade: HIGH (notificação heads-up)
Dependência: PUSH-01, BILL-01 (verificar premium)</t>
        </is>
      </c>
      <c r="F25" s="84" t="inlineStr">
        <is>
          <t>F3</t>
        </is>
      </c>
      <c r="G25" s="84" t="inlineStr">
        <is>
          <t>🔵 Médio</t>
        </is>
      </c>
      <c r="H25" s="67" t="inlineStr">
        <is>
          <t>Média</t>
        </is>
      </c>
      <c r="I25" s="68" t="n">
        <v>3</v>
      </c>
      <c r="J25" s="69" t="n"/>
      <c r="K25" s="82" t="inlineStr">
        <is>
          <t>8</t>
        </is>
      </c>
      <c r="L25" s="74" t="inlineStr">
        <is>
          <t>Todo</t>
        </is>
      </c>
      <c r="M25" s="75" t="n">
        <v>0</v>
      </c>
      <c r="N25" s="76" t="inlineStr">
        <is>
          <t>Feature premium de alta percepção de valor</t>
        </is>
      </c>
    </row>
    <row r="26" ht="72" customHeight="1" s="57">
      <c r="A26" s="60" t="inlineStr">
        <is>
          <t>CONV-01</t>
        </is>
      </c>
      <c r="B26" s="87" t="inlineStr">
        <is>
          <t>📊 Conversão</t>
        </is>
      </c>
      <c r="C26" s="62" t="inlineStr">
        <is>
          <t>Como usuário, quero ver a taxa de acerto histórica do app para confiar mais nas análises antes de assinar.</t>
        </is>
      </c>
      <c r="D26" s="63" t="inlineStr">
        <is>
          <t>✔ Widget no Dashboard: 'O app acertou 71% dos picks Over 2.5 este mês'
✔ Dados calculados a partir do histórico de apostas registradas
✔ Fallback: 'Dados sendo coletados — registre suas apostas para ver'
✔ Atualizado automaticamente quando novas apostas são registradas</t>
        </is>
      </c>
      <c r="E26" s="64" t="inlineStr">
        <is>
          <t>DashboardViewModel: calcular accuracy por market type
Query Room: bets WHERE result != PENDING GROUP BY market
Formula: wins / (wins + losses)
UI: AccuracyWidget composable no DashboardScreen</t>
        </is>
      </c>
      <c r="F26" s="67" t="inlineStr">
        <is>
          <t>F2</t>
        </is>
      </c>
      <c r="G26" s="67" t="inlineStr">
        <is>
          <t>📈 Alto</t>
        </is>
      </c>
      <c r="H26" s="65" t="inlineStr">
        <is>
          <t>Baixa</t>
        </is>
      </c>
      <c r="I26" s="68" t="n">
        <v>2</v>
      </c>
      <c r="J26" s="69" t="n"/>
      <c r="K26" s="78" t="inlineStr">
        <is>
          <t>6</t>
        </is>
      </c>
      <c r="L26" s="74" t="inlineStr">
        <is>
          <t>Todo</t>
        </is>
      </c>
      <c r="M26" s="75" t="n">
        <v>0</v>
      </c>
      <c r="N26" s="76" t="inlineStr">
        <is>
          <t>Social proof — aumenta conversão orgânica</t>
        </is>
      </c>
    </row>
    <row r="27" ht="72" customHeight="1" s="57">
      <c r="A27" s="60" t="inlineStr">
        <is>
          <t>CONV-02</t>
        </is>
      </c>
      <c r="B27" s="87" t="inlineStr">
        <is>
          <t>📊 Conversão</t>
        </is>
      </c>
      <c r="C27" s="62" t="inlineStr">
        <is>
          <t>Como usuário Free, quero ver mensagens progressivas que me incentivem a assinar antes de esgotar minhas análises gratuitas.</t>
        </is>
      </c>
      <c r="D27" s="63" t="inlineStr">
        <is>
          <t>✔ Após 1ª análise: 'Você tem 0 análises grátis restantes hoje'
✔ Modal de upgrade contextual: usa dados da análise recém-feita
✔ Mensagem personalizada: 'Essa partida tem um value bet de +8%. Assine para ver análises ilimitadas.'
✔ Countdown: 'Sua análise gratuita reseta em Xh Ymin'
✔ A/B test: banner soft vs modal hard (2 variantes)</t>
        </is>
      </c>
      <c r="E27" s="64" t="inlineStr">
        <is>
          <t>Integrar em AnalysisViewModel e DashboardScreen
Mensagens contextuais baseadas no edge da última análise
Countdown: calcular tempo até meia-noite local
A/B test flag em Firestore Remote Config</t>
        </is>
      </c>
      <c r="F27" s="67" t="inlineStr">
        <is>
          <t>F2</t>
        </is>
      </c>
      <c r="G27" s="67" t="inlineStr">
        <is>
          <t>📈 Alto</t>
        </is>
      </c>
      <c r="H27" s="65" t="inlineStr">
        <is>
          <t>Baixa</t>
        </is>
      </c>
      <c r="I27" s="68" t="n">
        <v>2</v>
      </c>
      <c r="J27" s="69" t="n"/>
      <c r="K27" s="78" t="inlineStr">
        <is>
          <t>6</t>
        </is>
      </c>
      <c r="L27" s="74" t="inlineStr">
        <is>
          <t>Todo</t>
        </is>
      </c>
      <c r="M27" s="75" t="n">
        <v>0</v>
      </c>
      <c r="N27" s="76" t="inlineStr">
        <is>
          <t>Alto impacto em conversão — baixo esforço</t>
        </is>
      </c>
    </row>
    <row r="28" ht="72" customHeight="1" s="57">
      <c r="A28" s="60" t="inlineStr">
        <is>
          <t>HIST-01</t>
        </is>
      </c>
      <c r="B28" s="88" t="inlineStr">
        <is>
          <t>📋 Histórico</t>
        </is>
      </c>
      <c r="C28" s="62" t="inlineStr">
        <is>
          <t>Como usuário, quero editar apostas já registradas para corrigir erros de digitação ou atualizar o resultado.</t>
        </is>
      </c>
      <c r="D28" s="63" t="inlineStr">
        <is>
          <t>✔ Ícone de edição (lápis) em cada BetRow no HistoryScreen
✔ Modal reutiliza AddBetForm pré-populado com dados da aposta
✔ Salvar atualiza o registro via updateBet() no Room
✔ Cancelar fecha sem modificar
✔ Não é possível editar apostas com mais de 30 dias (proteção de integridade)</t>
        </is>
      </c>
      <c r="E28" s="64" t="inlineStr">
        <is>
          <t>BetDao.kt: @Update fun updateBet(bet: BetEntity)
BetRepository.kt: fun updateBet(bet: BetEntity)
HistoryViewModel.kt: fun editBet(bet: BetEntity)
UI: HistoryBetRow → botão editar → bottom sheet com AddBetForm</t>
        </is>
      </c>
      <c r="F28" s="65" t="inlineStr">
        <is>
          <t>F1</t>
        </is>
      </c>
      <c r="G28" s="67" t="inlineStr">
        <is>
          <t>📈 Alto</t>
        </is>
      </c>
      <c r="H28" s="65" t="inlineStr">
        <is>
          <t>Baixa</t>
        </is>
      </c>
      <c r="I28" s="68" t="n">
        <v>1</v>
      </c>
      <c r="J28" s="69" t="n"/>
      <c r="K28" s="79" t="inlineStr">
        <is>
          <t>3</t>
        </is>
      </c>
      <c r="L28" s="89" t="inlineStr">
        <is>
          <t>Concluído</t>
        </is>
      </c>
      <c r="M28" s="72" t="n">
        <v>1</v>
      </c>
      <c r="N28" s="73" t="inlineStr">
        <is>
          <t>HistoryScreen implementada com filtros, gráfico de ROI, AddBetForm. Tema claro/escuro aplicado. Cores corrigidas.</t>
        </is>
      </c>
    </row>
    <row r="29" ht="72" customHeight="1" s="57">
      <c r="A29" s="60" t="inlineStr">
        <is>
          <t>HIST-02</t>
        </is>
      </c>
      <c r="B29" s="88" t="inlineStr">
        <is>
          <t>📋 Histórico</t>
        </is>
      </c>
      <c r="C29" s="62" t="inlineStr">
        <is>
          <t>Como usuário Premium, quero exportar meu histórico de apostas em CSV para análise externa ou planilha.</t>
        </is>
      </c>
      <c r="D29" s="63" t="inlineStr">
        <is>
          <t>✔ Botão 'Exportar CSV' no HistoryScreen (só Premium)
✔ Arquivo: sentinelbet_apostas_YYYYMMDD.csv
✔ Colunas: data, partida, mercado, odd, stake, resultado, lucro, notas
✔ Compartilhamento via Android Share Sheet (abrir em Excel, Drive, etc.)
✔ Feedback visual (toast) ao concluir exportação</t>
        </is>
      </c>
      <c r="E29" s="64" t="inlineStr">
        <is>
          <t>ExportCsvUseCase.kt
MediaStore API (API &gt;= 29) ou FileProvider (API &lt; 29)
Sem permissão WRITE_EXTERNAL_STORAGE no Android 13+
CSV: Formato UTF-8 BOM para compatibilidade com Excel</t>
        </is>
      </c>
      <c r="F29" s="84" t="inlineStr">
        <is>
          <t>F3</t>
        </is>
      </c>
      <c r="G29" s="84" t="inlineStr">
        <is>
          <t>🔵 Médio</t>
        </is>
      </c>
      <c r="H29" s="65" t="inlineStr">
        <is>
          <t>Baixa</t>
        </is>
      </c>
      <c r="I29" s="68" t="n">
        <v>1</v>
      </c>
      <c r="J29" s="69" t="n"/>
      <c r="K29" s="79" t="inlineStr">
        <is>
          <t>7</t>
        </is>
      </c>
      <c r="L29" s="74" t="inlineStr">
        <is>
          <t>Todo</t>
        </is>
      </c>
      <c r="M29" s="75" t="n">
        <v>0</v>
      </c>
      <c r="N29" s="76" t="inlineStr">
        <is>
          <t>Feature de retenção — usuários avançados adoram</t>
        </is>
      </c>
    </row>
    <row r="30" ht="72" customHeight="1" s="57">
      <c r="A30" s="60" t="inlineStr">
        <is>
          <t>TLG-01</t>
        </is>
      </c>
      <c r="B30" s="90" t="inlineStr">
        <is>
          <t>💬 Telegram</t>
        </is>
      </c>
      <c r="C30" s="62" t="inlineStr">
        <is>
          <t>Como usuário Premium, quero receber os picks do dia no meu Telegram com link direto para abrir a análise completa no app.</t>
        </is>
      </c>
      <c r="D30" s="63" t="inlineStr">
        <is>
          <t>✔ Configuração em Settings: botão 'Conectar Telegram'
✔ Fluxo: gera código único → usuário envia para @SentinelBetBot → conta vinculada
✔ Bot envia picks diários às 09:00 com deep link
✔ Formato: 'Arsenal vs Chelsea ⚽ | Over 2.5 | Edge +7% | [Ver análise →]'
✔ Deep link: sentinelbet://analysis?fixture=ID
✔ Opt-out disponível em Settings</t>
        </is>
      </c>
      <c r="E30" s="64" t="inlineStr">
        <is>
          <t>Cloud Function: telegram_bot_webhook (Node.js)
Telegram Bot API: sendMessage, setWebhook
Deep link: Android App Links + intent-filter em AndroidManifest
Firestore: users/{uid}/telegram_chat_id
Agendamento: Cloud Scheduler às 09:00 BRT</t>
        </is>
      </c>
      <c r="F30" s="84" t="inlineStr">
        <is>
          <t>F3</t>
        </is>
      </c>
      <c r="G30" s="84" t="inlineStr">
        <is>
          <t>🔵 Médio</t>
        </is>
      </c>
      <c r="H30" s="66" t="inlineStr">
        <is>
          <t>Alta</t>
        </is>
      </c>
      <c r="I30" s="68" t="n">
        <v>4</v>
      </c>
      <c r="J30" s="69" t="n"/>
      <c r="K30" s="82" t="inlineStr">
        <is>
          <t>8</t>
        </is>
      </c>
      <c r="L30" s="74" t="inlineStr">
        <is>
          <t>Todo</t>
        </is>
      </c>
      <c r="M30" s="75" t="n">
        <v>0</v>
      </c>
      <c r="N30" s="76" t="inlineStr">
        <is>
          <t>Canal de distribuição orgânica — reduz dependência de push</t>
        </is>
      </c>
    </row>
    <row r="31" ht="72" customHeight="1" s="57">
      <c r="A31" s="60" t="inlineStr">
        <is>
          <t>UX-01</t>
        </is>
      </c>
      <c r="B31" s="91" t="inlineStr">
        <is>
          <t>🎨 UX</t>
        </is>
      </c>
      <c r="C31" s="62" t="inlineStr">
        <is>
          <t>Como usuário, quero receber uma sugestão de avaliar o app no momento certo para ajudar com o crescimento orgânico.</t>
        </is>
      </c>
      <c r="D31" s="63" t="inlineStr">
        <is>
          <t>✔ Dialog de avaliação exibido após: 3ª análise completada com sucesso
✔ Não exibido em caso de erro recente ou menos de 3 dias de uso
✔ Opções: 'Avaliar agora' (abre Play Store), 'Lembrar depois', 'Não mostrar mais'
✔ Usa In-App Review API do Google para avaliação sem sair do app
✔ Máximo: 1 exibição por semana</t>
        </is>
      </c>
      <c r="E31" s="64" t="inlineStr">
        <is>
          <t>com.google.android.play:review-ktx
ReviewManager.requestReviewFlow() + launchReviewFlow()
Condição: analyses_completed &gt;= 3 AND days_since_install &gt;= 3
Flag: review_requested_at em Settings</t>
        </is>
      </c>
      <c r="F31" s="67" t="inlineStr">
        <is>
          <t>F2</t>
        </is>
      </c>
      <c r="G31" s="84" t="inlineStr">
        <is>
          <t>🔵 Médio</t>
        </is>
      </c>
      <c r="H31" s="65" t="inlineStr">
        <is>
          <t>Baixa</t>
        </is>
      </c>
      <c r="I31" s="68" t="n">
        <v>1</v>
      </c>
      <c r="J31" s="69" t="n"/>
      <c r="K31" s="78" t="inlineStr">
        <is>
          <t>6</t>
        </is>
      </c>
      <c r="L31" s="74" t="inlineStr">
        <is>
          <t>Todo</t>
        </is>
      </c>
      <c r="M31" s="75" t="n">
        <v>0</v>
      </c>
      <c r="N31" s="76" t="inlineStr">
        <is>
          <t>Avaliações positivas aumentam downloads orgânicos</t>
        </is>
      </c>
    </row>
    <row r="32" ht="72" customHeight="1" s="57">
      <c r="A32" s="60" t="inlineStr">
        <is>
          <t>UX-02</t>
        </is>
      </c>
      <c r="B32" s="91" t="inlineStr">
        <is>
          <t>🎨 UX</t>
        </is>
      </c>
      <c r="C32" s="62" t="inlineStr">
        <is>
          <t>Como usuário, quero que o app funcione offline (leitura) para poder consultar análises e histórico sem conexão.</t>
        </is>
      </c>
      <c r="D32" s="63" t="inlineStr">
        <is>
          <t>✔ Análises recentes cacheadas em Room (analyses table)
✔ Histórico de apostas disponível offline
✔ Banner informativo: 'Modo offline — dados podem estar desatualizados'
✔ Live e IA desabilitados offline com mensagem clara
✔ Reconexão automática sem precisar reiniciar o app</t>
        </is>
      </c>
      <c r="E32" s="64" t="inlineStr">
        <is>
          <t>ConnectivityObserver.kt (NetworkCallback)
Room cache: analyses com expires_at (1h para ao vivo, 24h para pré-jogo)
UI: estado NetworkUnavailable em todos os ViewModels relevantes
Retry automático quando conexão restaurada</t>
        </is>
      </c>
      <c r="F32" s="84" t="inlineStr">
        <is>
          <t>F3</t>
        </is>
      </c>
      <c r="G32" s="84" t="inlineStr">
        <is>
          <t>🔵 Médio</t>
        </is>
      </c>
      <c r="H32" s="67" t="inlineStr">
        <is>
          <t>Média</t>
        </is>
      </c>
      <c r="I32" s="68" t="n">
        <v>3</v>
      </c>
      <c r="J32" s="69" t="n"/>
      <c r="K32" s="82" t="inlineStr">
        <is>
          <t>8</t>
        </is>
      </c>
      <c r="L32" s="74" t="inlineStr">
        <is>
          <t>Todo</t>
        </is>
      </c>
      <c r="M32" s="75" t="n">
        <v>0</v>
      </c>
      <c r="N32" s="76" t="inlineStr">
        <is>
          <t>Importante para mercados com conectividade instável</t>
        </is>
      </c>
    </row>
    <row r="33" ht="24" customHeight="1" s="57">
      <c r="A33" s="92" t="inlineStr">
        <is>
          <t>TOTAL  —  30 estórias</t>
        </is>
      </c>
      <c r="B33" s="93" t="n"/>
      <c r="C33" s="93" t="n"/>
      <c r="D33" s="93" t="n"/>
      <c r="E33" s="93" t="n"/>
      <c r="F33" s="93" t="n"/>
      <c r="G33" s="93" t="n"/>
      <c r="H33" s="93" t="n"/>
      <c r="I33" s="94">
        <f>SUM(I3:I32)</f>
        <v/>
      </c>
      <c r="J33" s="95" t="n"/>
      <c r="K33" s="95" t="n"/>
      <c r="L33" s="95" t="n"/>
      <c r="M33" s="95" t="n"/>
      <c r="N33" s="95" t="n"/>
    </row>
  </sheetData>
  <mergeCells count="2">
    <mergeCell ref="A33:H33"/>
    <mergeCell ref="A1:N1"/>
  </mergeCells>
  <dataValidations count="1">
    <dataValidation sqref="L3:L32" showDropDown="0" showInputMessage="0" showErrorMessage="1" allowBlank="1" errorTitle="Status Inválido" error="Valor inválido. Use a lista." type="list" errorStyle="stop" operator="between">
      <formula1>"Todo,Em andamento,Review,Concluído,Bloqueado"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9" customWidth="1" style="56" min="1" max="1"/>
    <col width="52" customWidth="1" style="56" min="2" max="2"/>
    <col width="11" customWidth="1" style="56" min="3" max="3"/>
    <col width="40" customWidth="1" style="56" min="4" max="4"/>
    <col width="8" customWidth="1" style="56" min="5" max="5"/>
    <col width="18" customWidth="1" style="56" min="6" max="6"/>
    <col width="14" customWidth="1" style="56" min="7" max="7"/>
    <col width="32" customWidth="1" style="56" min="8" max="8"/>
  </cols>
  <sheetData>
    <row r="1" ht="27.75" customHeight="1" s="57">
      <c r="A1" s="96" t="inlineStr">
        <is>
          <t>🛡  SENTINELBET — SPRINT PLAN  |  Fases 1–3  |  Março–Julho 2026</t>
        </is>
      </c>
    </row>
    <row r="2" ht="27.75" customHeight="1" s="57">
      <c r="A2" s="59" t="inlineStr">
        <is>
          <t>Sprint</t>
        </is>
      </c>
      <c r="B2" s="59" t="inlineStr">
        <is>
          <t>Estórias</t>
        </is>
      </c>
      <c r="C2" s="59" t="inlineStr">
        <is>
          <t>Total SP</t>
        </is>
      </c>
      <c r="D2" s="59" t="inlineStr">
        <is>
          <t>Objetivo</t>
        </is>
      </c>
      <c r="E2" s="59" t="inlineStr">
        <is>
          <t>Fase</t>
        </is>
      </c>
      <c r="F2" s="59" t="inlineStr">
        <is>
          <t>Período</t>
        </is>
      </c>
      <c r="G2" s="59" t="inlineStr">
        <is>
          <t>Status</t>
        </is>
      </c>
      <c r="H2" s="59" t="inlineStr">
        <is>
          <t>Notas</t>
        </is>
      </c>
    </row>
    <row r="3" ht="54" customHeight="1" s="57">
      <c r="A3" s="97" t="inlineStr">
        <is>
          <t>Sprint 1</t>
        </is>
      </c>
      <c r="B3" s="98" t="inlineStr">
        <is>
          <t>AUTH-01, AUTH-02, AUTH-03</t>
        </is>
      </c>
      <c r="C3" s="99">
        <f>10</f>
        <v/>
      </c>
      <c r="D3" s="100" t="inlineStr">
        <is>
          <t>Login Google + Segurança + Onboarding — base para billing</t>
        </is>
      </c>
      <c r="E3" s="65" t="inlineStr">
        <is>
          <t>F1</t>
        </is>
      </c>
      <c r="F3" s="101" t="inlineStr">
        <is>
          <t>Semana 1 (5 dias)</t>
        </is>
      </c>
      <c r="G3" s="74" t="inlineStr">
        <is>
          <t>Todo</t>
        </is>
      </c>
      <c r="H3" s="76" t="inlineStr">
        <is>
          <t>AUTH-01 bloqueante — priorizar no início do sprint</t>
        </is>
      </c>
    </row>
    <row r="4" ht="54" customHeight="1" s="57">
      <c r="A4" s="102" t="inlineStr">
        <is>
          <t>Sprint 2</t>
        </is>
      </c>
      <c r="B4" s="98" t="inlineStr">
        <is>
          <t>BILL-01, BILL-02, GATE-01, BILL-03</t>
        </is>
      </c>
      <c r="C4" s="99">
        <f>20</f>
        <v/>
      </c>
      <c r="D4" s="100" t="inlineStr">
        <is>
          <t>Billing v6 + Verificação server-side + Infra gating + PaywallScreen</t>
        </is>
      </c>
      <c r="E4" s="65" t="inlineStr">
        <is>
          <t>F1</t>
        </is>
      </c>
      <c r="F4" s="103" t="inlineStr">
        <is>
          <t>Semana 2 (5 dias)</t>
        </is>
      </c>
      <c r="G4" s="74" t="inlineStr">
        <is>
          <t>Todo</t>
        </is>
      </c>
      <c r="H4" s="76" t="inlineStr">
        <is>
          <t>BILL-01 e BILL-02 em paralelo se houver 2 devs</t>
        </is>
      </c>
    </row>
    <row r="5" ht="54" customHeight="1" s="57">
      <c r="A5" s="104" t="inlineStr">
        <is>
          <t>Sprint 3</t>
        </is>
      </c>
      <c r="B5" s="98" t="inlineStr">
        <is>
          <t>BILL-04, GATE-02, GATE-03, HIST-01</t>
        </is>
      </c>
      <c r="C5" s="99">
        <f>8</f>
        <v/>
      </c>
      <c r="D5" s="100" t="inlineStr">
        <is>
          <t>Trial 3 dias + Bloqueio diário IA + Badges premium + Edição apostas</t>
        </is>
      </c>
      <c r="E5" s="65" t="inlineStr">
        <is>
          <t>F1</t>
        </is>
      </c>
      <c r="F5" s="105" t="inlineStr">
        <is>
          <t>Semana 3 (5 dias)</t>
        </is>
      </c>
      <c r="G5" s="74" t="inlineStr">
        <is>
          <t>Todo</t>
        </is>
      </c>
      <c r="H5" s="76" t="inlineStr">
        <is>
          <t>Gate-02 é crítico para conversão — testar bem no sandbox</t>
        </is>
      </c>
    </row>
    <row r="6" ht="54" customHeight="1" s="57">
      <c r="A6" s="106" t="inlineStr">
        <is>
          <t>Sprint 4</t>
        </is>
      </c>
      <c r="B6" s="98" t="inlineStr">
        <is>
          <t>INFRA-01, INFRA-02, INFRA-03</t>
        </is>
      </c>
      <c r="C6" s="99">
        <f>9</f>
        <v/>
      </c>
      <c r="D6" s="100" t="inlineStr">
        <is>
          <t>CI/CD + Play Store publish + Analytics/Crashlytics — lançamento!</t>
        </is>
      </c>
      <c r="E6" s="65" t="inlineStr">
        <is>
          <t>F1</t>
        </is>
      </c>
      <c r="F6" s="107" t="inlineStr">
        <is>
          <t>Semana 4 (5 dias)</t>
        </is>
      </c>
      <c r="G6" s="74" t="inlineStr">
        <is>
          <t>Todo</t>
        </is>
      </c>
      <c r="H6" s="76" t="inlineStr">
        <is>
          <t>Submeter para review da Play Store no dia 18 (pode levar 3-7 dias)</t>
        </is>
      </c>
    </row>
    <row r="7" ht="54" customHeight="1" s="57">
      <c r="A7" s="106" t="inlineStr">
        <is>
          <t>Sprint 5</t>
        </is>
      </c>
      <c r="B7" s="98" t="inlineStr">
        <is>
          <t>AI-01, AI-02, AI-03, LIVE-01, CONV-01</t>
        </is>
      </c>
      <c r="C7" s="99">
        <f>9</f>
        <v/>
      </c>
      <c r="D7" s="100" t="inlineStr">
        <is>
          <t>IA com H2H + forma + odds reais + Favoritos + Prova social</t>
        </is>
      </c>
      <c r="E7" s="67" t="inlineStr">
        <is>
          <t>F2</t>
        </is>
      </c>
      <c r="F7" s="107" t="inlineStr">
        <is>
          <t>Semanas 5–6 (8 dias)</t>
        </is>
      </c>
      <c r="G7" s="74" t="inlineStr">
        <is>
          <t>Todo</t>
        </is>
      </c>
      <c r="H7" s="76" t="inlineStr">
        <is>
          <t>AI-01/02/03 podem ser implementadas em 1 dia cada</t>
        </is>
      </c>
    </row>
    <row r="8" ht="54" customHeight="1" s="57">
      <c r="A8" s="104" t="inlineStr">
        <is>
          <t>Sprint 6</t>
        </is>
      </c>
      <c r="B8" s="98" t="inlineStr">
        <is>
          <t>LIVE-02, CONV-02, UX-01</t>
        </is>
      </c>
      <c r="C8" s="99">
        <f>6</f>
        <v/>
      </c>
      <c r="D8" s="100" t="inlineStr">
        <is>
          <t>Alertas ao vivo por regras + Paywall progressivo + Rate App dialog</t>
        </is>
      </c>
      <c r="E8" s="67" t="inlineStr">
        <is>
          <t>F2</t>
        </is>
      </c>
      <c r="F8" s="105" t="inlineStr">
        <is>
          <t>Semanas 7–8 (5 dias)</t>
        </is>
      </c>
      <c r="G8" s="74" t="inlineStr">
        <is>
          <t>Todo</t>
        </is>
      </c>
      <c r="H8" s="76" t="inlineStr">
        <is>
          <t>LIVE-02 depende de LIVE-01 estar pronto</t>
        </is>
      </c>
    </row>
    <row r="9" ht="54" customHeight="1" s="57">
      <c r="A9" s="108" t="inlineStr">
        <is>
          <t>Sprint 7</t>
        </is>
      </c>
      <c r="B9" s="98" t="inlineStr">
        <is>
          <t>PUSH-01, PUSH-02, AI-04, HIST-02</t>
        </is>
      </c>
      <c r="C9" s="99">
        <f>8</f>
        <v/>
      </c>
      <c r="D9" s="100" t="inlineStr">
        <is>
          <t>Infra FCM + Alertas pré-jogo + Feedback IA + Export CSV</t>
        </is>
      </c>
      <c r="E9" s="84" t="inlineStr">
        <is>
          <t>F3</t>
        </is>
      </c>
      <c r="F9" s="109" t="inlineStr">
        <is>
          <t>Semanas 9–10 (6 dias)</t>
        </is>
      </c>
      <c r="G9" s="74" t="inlineStr">
        <is>
          <t>Todo</t>
        </is>
      </c>
      <c r="H9" s="76" t="inlineStr">
        <is>
          <t>PUSH-01 é pré-requisito — implementar primeiro</t>
        </is>
      </c>
    </row>
    <row r="10" ht="54" customHeight="1" s="57">
      <c r="A10" s="108" t="inlineStr">
        <is>
          <t>Sprint 8</t>
        </is>
      </c>
      <c r="B10" s="98" t="inlineStr">
        <is>
          <t>LIVE-03, PUSH-03, TLG-01, UX-02</t>
        </is>
      </c>
      <c r="C10" s="99">
        <f>15</f>
        <v/>
      </c>
      <c r="D10" s="100" t="inlineStr">
        <is>
          <t>IA ao vivo Premium + Value bet push + Telegram + Modo offline</t>
        </is>
      </c>
      <c r="E10" s="84" t="inlineStr">
        <is>
          <t>F3</t>
        </is>
      </c>
      <c r="F10" s="109" t="inlineStr">
        <is>
          <t>Semanas 11–13 (8 dias)</t>
        </is>
      </c>
      <c r="G10" s="74" t="inlineStr">
        <is>
          <t>Todo</t>
        </is>
      </c>
      <c r="H10" s="76" t="inlineStr">
        <is>
          <t>Sprints mais densos — ajustar escopo conforme velocidade do time</t>
        </is>
      </c>
    </row>
    <row r="11" ht="24" customHeight="1" s="57">
      <c r="A11" s="92" t="inlineStr">
        <is>
          <t>TOTAL  —  8 sprints  |  ~13 semanas</t>
        </is>
      </c>
      <c r="B11" s="93" t="n"/>
      <c r="C11" s="110">
        <f>SUM(C3:C10)</f>
        <v/>
      </c>
      <c r="D11" s="95" t="n"/>
      <c r="E11" s="95" t="n"/>
      <c r="F11" s="95" t="n"/>
      <c r="G11" s="95" t="n"/>
      <c r="H11" s="95" t="n"/>
    </row>
  </sheetData>
  <mergeCells count="2">
    <mergeCell ref="A11:B1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56" min="1" max="1"/>
    <col width="12" customWidth="1" style="56" min="2" max="2"/>
    <col width="14" customWidth="1" style="56" min="3" max="3"/>
    <col width="12" customWidth="1" style="56" min="4" max="4"/>
    <col width="16" customWidth="1" style="56" min="5" max="5"/>
    <col width="14" customWidth="1" style="56" min="6" max="6"/>
    <col width="16" customWidth="1" style="56" min="7" max="7"/>
  </cols>
  <sheetData>
    <row r="1" ht="27.75" customHeight="1" s="57">
      <c r="A1" s="96" t="inlineStr">
        <is>
          <t>📊  RESUMO POR ÉPICO — Story Points &amp; Status</t>
        </is>
      </c>
    </row>
    <row r="2" ht="25.5" customHeight="1" s="57">
      <c r="A2" s="59" t="inlineStr">
        <is>
          <t>Épico</t>
        </is>
      </c>
      <c r="B2" s="59" t="inlineStr">
        <is>
          <t>Fase(s)</t>
        </is>
      </c>
      <c r="C2" s="59" t="inlineStr">
        <is>
          <t>Qtd Estórias</t>
        </is>
      </c>
      <c r="D2" s="59" t="inlineStr">
        <is>
          <t>Total SP</t>
        </is>
      </c>
      <c r="E2" s="59" t="inlineStr">
        <is>
          <t>SP Concluídos</t>
        </is>
      </c>
      <c r="F2" s="59" t="inlineStr">
        <is>
          <t>% Progresso</t>
        </is>
      </c>
      <c r="G2" s="59" t="inlineStr">
        <is>
          <t>Status Geral</t>
        </is>
      </c>
    </row>
    <row r="3" ht="21.75" customHeight="1" s="57">
      <c r="A3" s="61" t="inlineStr">
        <is>
          <t>🔐 Autenticação</t>
        </is>
      </c>
      <c r="B3" s="111" t="inlineStr">
        <is>
          <t>F1</t>
        </is>
      </c>
      <c r="C3" s="68" t="n">
        <v>3</v>
      </c>
      <c r="D3" s="112" t="n">
        <v>10</v>
      </c>
      <c r="E3" s="113" t="n">
        <v>0</v>
      </c>
      <c r="F3" s="75">
        <f>IF(D3=0,0,E3/D3)</f>
        <v/>
      </c>
      <c r="G3" s="84" t="inlineStr">
        <is>
          <t>🔵 A iniciar</t>
        </is>
      </c>
    </row>
    <row r="4" ht="21.75" customHeight="1" s="57">
      <c r="A4" s="77" t="inlineStr">
        <is>
          <t>💳 Billing</t>
        </is>
      </c>
      <c r="B4" s="111" t="inlineStr">
        <is>
          <t>F1</t>
        </is>
      </c>
      <c r="C4" s="68" t="n">
        <v>4</v>
      </c>
      <c r="D4" s="112" t="n">
        <v>19</v>
      </c>
      <c r="E4" s="113" t="n">
        <v>0</v>
      </c>
      <c r="F4" s="75">
        <f>IF(D4=0,0,E4/D4)</f>
        <v/>
      </c>
      <c r="G4" s="84" t="inlineStr">
        <is>
          <t>🔵 A iniciar</t>
        </is>
      </c>
    </row>
    <row r="5" ht="21.75" customHeight="1" s="57">
      <c r="A5" s="80" t="inlineStr">
        <is>
          <t>🚪 Feature Gating</t>
        </is>
      </c>
      <c r="B5" s="111" t="inlineStr">
        <is>
          <t>F1</t>
        </is>
      </c>
      <c r="C5" s="68" t="n">
        <v>3</v>
      </c>
      <c r="D5" s="112" t="n">
        <v>8</v>
      </c>
      <c r="E5" s="113" t="n">
        <v>0</v>
      </c>
      <c r="F5" s="75">
        <f>IF(D5=0,0,E5/D5)</f>
        <v/>
      </c>
      <c r="G5" s="84" t="inlineStr">
        <is>
          <t>🔵 A iniciar</t>
        </is>
      </c>
    </row>
    <row r="6" ht="21.75" customHeight="1" s="57">
      <c r="A6" s="81" t="inlineStr">
        <is>
          <t>🏗️ Infra</t>
        </is>
      </c>
      <c r="B6" s="111" t="inlineStr">
        <is>
          <t>F1</t>
        </is>
      </c>
      <c r="C6" s="68" t="n">
        <v>3</v>
      </c>
      <c r="D6" s="112" t="n">
        <v>9</v>
      </c>
      <c r="E6" s="113" t="n">
        <v>0</v>
      </c>
      <c r="F6" s="75">
        <f>IF(D6=0,0,E6/D6)</f>
        <v/>
      </c>
      <c r="G6" s="84" t="inlineStr">
        <is>
          <t>🔵 A iniciar</t>
        </is>
      </c>
    </row>
    <row r="7" ht="21.75" customHeight="1" s="57">
      <c r="A7" s="83" t="inlineStr">
        <is>
          <t>🧠 IA Melhorada</t>
        </is>
      </c>
      <c r="B7" s="111" t="inlineStr">
        <is>
          <t>F2 / F3</t>
        </is>
      </c>
      <c r="C7" s="68" t="n">
        <v>4</v>
      </c>
      <c r="D7" s="112" t="n">
        <v>6</v>
      </c>
      <c r="E7" s="113" t="n">
        <v>0</v>
      </c>
      <c r="F7" s="75">
        <f>IF(D7=0,0,E7/D7)</f>
        <v/>
      </c>
      <c r="G7" s="84" t="inlineStr">
        <is>
          <t>🔵 A iniciar</t>
        </is>
      </c>
    </row>
    <row r="8" ht="21.75" customHeight="1" s="57">
      <c r="A8" s="85" t="inlineStr">
        <is>
          <t>⚡ Ao Vivo</t>
        </is>
      </c>
      <c r="B8" s="111" t="inlineStr">
        <is>
          <t>F2 / F3</t>
        </is>
      </c>
      <c r="C8" s="68" t="n">
        <v>3</v>
      </c>
      <c r="D8" s="112" t="n">
        <v>10</v>
      </c>
      <c r="E8" s="113" t="n">
        <v>0</v>
      </c>
      <c r="F8" s="75">
        <f>IF(D8=0,0,E8/D8)</f>
        <v/>
      </c>
      <c r="G8" s="84" t="inlineStr">
        <is>
          <t>🔵 A iniciar</t>
        </is>
      </c>
    </row>
    <row r="9" ht="21.75" customHeight="1" s="57">
      <c r="A9" s="86" t="inlineStr">
        <is>
          <t>🔔 Push</t>
        </is>
      </c>
      <c r="B9" s="111" t="inlineStr">
        <is>
          <t>F3</t>
        </is>
      </c>
      <c r="C9" s="68" t="n">
        <v>3</v>
      </c>
      <c r="D9" s="112" t="n">
        <v>9</v>
      </c>
      <c r="E9" s="113" t="n">
        <v>0</v>
      </c>
      <c r="F9" s="75">
        <f>IF(D9=0,0,E9/D9)</f>
        <v/>
      </c>
      <c r="G9" s="84" t="inlineStr">
        <is>
          <t>🔵 A iniciar</t>
        </is>
      </c>
    </row>
    <row r="10" ht="21.75" customHeight="1" s="57">
      <c r="A10" s="87" t="inlineStr">
        <is>
          <t>📊 Conversão</t>
        </is>
      </c>
      <c r="B10" s="111" t="inlineStr">
        <is>
          <t>F2</t>
        </is>
      </c>
      <c r="C10" s="68" t="n">
        <v>2</v>
      </c>
      <c r="D10" s="112" t="n">
        <v>4</v>
      </c>
      <c r="E10" s="113" t="n">
        <v>0</v>
      </c>
      <c r="F10" s="75">
        <f>IF(D10=0,0,E10/D10)</f>
        <v/>
      </c>
      <c r="G10" s="84" t="inlineStr">
        <is>
          <t>🔵 A iniciar</t>
        </is>
      </c>
    </row>
    <row r="11" ht="21.75" customHeight="1" s="57">
      <c r="A11" s="88" t="inlineStr">
        <is>
          <t>📋 Histórico</t>
        </is>
      </c>
      <c r="B11" s="111" t="inlineStr">
        <is>
          <t>F1 / F3</t>
        </is>
      </c>
      <c r="C11" s="68" t="n">
        <v>2</v>
      </c>
      <c r="D11" s="112" t="n">
        <v>2</v>
      </c>
      <c r="E11" s="113" t="n">
        <v>0</v>
      </c>
      <c r="F11" s="75">
        <f>IF(D11=0,0,E11/D11)</f>
        <v/>
      </c>
      <c r="G11" s="84" t="inlineStr">
        <is>
          <t>🔵 A iniciar</t>
        </is>
      </c>
    </row>
    <row r="12" ht="21.75" customHeight="1" s="57">
      <c r="A12" s="90" t="inlineStr">
        <is>
          <t>💬 Telegram</t>
        </is>
      </c>
      <c r="B12" s="111" t="inlineStr">
        <is>
          <t>F3</t>
        </is>
      </c>
      <c r="C12" s="68" t="n">
        <v>1</v>
      </c>
      <c r="D12" s="112" t="n">
        <v>4</v>
      </c>
      <c r="E12" s="113" t="n">
        <v>0</v>
      </c>
      <c r="F12" s="75">
        <f>IF(D12=0,0,E12/D12)</f>
        <v/>
      </c>
      <c r="G12" s="84" t="inlineStr">
        <is>
          <t>🔵 A iniciar</t>
        </is>
      </c>
    </row>
    <row r="13" ht="21.75" customHeight="1" s="57">
      <c r="A13" s="91" t="inlineStr">
        <is>
          <t>🎨 UX</t>
        </is>
      </c>
      <c r="B13" s="111" t="inlineStr">
        <is>
          <t>F2 / F3</t>
        </is>
      </c>
      <c r="C13" s="68" t="n">
        <v>2</v>
      </c>
      <c r="D13" s="112" t="n">
        <v>4</v>
      </c>
      <c r="E13" s="113" t="n">
        <v>0</v>
      </c>
      <c r="F13" s="75">
        <f>IF(D13=0,0,E13/D13)</f>
        <v/>
      </c>
      <c r="G13" s="84" t="inlineStr">
        <is>
          <t>🔵 A iniciar</t>
        </is>
      </c>
    </row>
    <row r="14" ht="24" customHeight="1" s="57">
      <c r="A14" s="114" t="inlineStr">
        <is>
          <t>TOTAL GERAL</t>
        </is>
      </c>
      <c r="B14" s="115" t="n"/>
      <c r="C14" s="116">
        <f>SUM(C3:C13)</f>
        <v/>
      </c>
      <c r="D14" s="110">
        <f>SUM(D3:D13)</f>
        <v/>
      </c>
      <c r="E14" s="117">
        <f>SUM(E3:E13)</f>
        <v/>
      </c>
      <c r="F14" s="118">
        <f>IF(D14=0,0,E14/D14)</f>
        <v/>
      </c>
      <c r="G14" s="95" t="n"/>
    </row>
  </sheetData>
  <mergeCells count="2">
    <mergeCell ref="A14:B14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2026-03-28T06:19:20Z</dcterms:created>
  <dcterms:modified xmlns:dcterms="http://purl.org/dc/terms/" xmlns:xsi="http://www.w3.org/2001/XMLSchema-instance" xsi:type="dcterms:W3CDTF">2026-03-28T12:51:20Z</dcterms:modified>
  <cp:revision>0</cp:revision>
</cp:coreProperties>
</file>